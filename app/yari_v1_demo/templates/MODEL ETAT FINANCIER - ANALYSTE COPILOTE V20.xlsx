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5.xml" ContentType="application/vnd.openxmlformats-officedocument.drawingml.chartshapes+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macbookpro/Desktop/YARISK/"/>
    </mc:Choice>
  </mc:AlternateContent>
  <xr:revisionPtr revIDLastSave="0" documentId="8_{3F724524-D9C7-CC48-A7F1-FA0BCF6BA7B4}" xr6:coauthVersionLast="45" xr6:coauthVersionMax="45" xr10:uidLastSave="{00000000-0000-0000-0000-000000000000}"/>
  <bookViews>
    <workbookView xWindow="0" yWindow="500" windowWidth="28800" windowHeight="16840" tabRatio="584" xr2:uid="{00000000-000D-0000-FFFF-FFFF00000000}"/>
  </bookViews>
  <sheets>
    <sheet name="Saisie actif" sheetId="15" r:id="rId1"/>
    <sheet name="Saisie passif" sheetId="16" r:id="rId2"/>
    <sheet name="Saisie TCR" sheetId="17" r:id="rId3"/>
    <sheet name="Saisie" sheetId="2" r:id="rId4"/>
    <sheet name="Etatsfin" sheetId="4" r:id="rId5"/>
    <sheet name="Ratios" sheetId="3" r:id="rId6"/>
    <sheet name="Hypo" sheetId="6" r:id="rId7"/>
    <sheet name="PrSept" sheetId="7" r:id="rId8"/>
    <sheet name="Dette" sheetId="12" r:id="rId9"/>
    <sheet name="Graph" sheetId="13" r:id="rId10"/>
  </sheets>
  <externalReferences>
    <externalReference r:id="rId11"/>
    <externalReference r:id="rId12"/>
  </externalReferences>
  <definedNames>
    <definedName name="_Fill" localSheetId="8" hidden="1">Dette!#REF!</definedName>
    <definedName name="_Fill" localSheetId="6" hidden="1">Hypo!#REF!</definedName>
    <definedName name="_Fill" localSheetId="7" hidden="1">PrSept!#REF!</definedName>
    <definedName name="_xlnm._FilterDatabase" localSheetId="3" hidden="1">Saisie!$A$1:$J$192</definedName>
    <definedName name="_xlnm.Criteria" localSheetId="8">Dette!#REF!</definedName>
    <definedName name="_xlnm.Criteria" localSheetId="6">Hypo!#REF!</definedName>
    <definedName name="_xlnm.Criteria" localSheetId="7">PrSept!#REF!</definedName>
    <definedName name="_xlnm.Extract" localSheetId="8">Dette!#REF!</definedName>
    <definedName name="_xlnm.Extract" localSheetId="6">Hypo!#REF!</definedName>
    <definedName name="_xlnm.Extract" localSheetId="7">PrSept!#REF!</definedName>
    <definedName name="Z_A95FC2AB_6827_4373_949F_016B7E9CC643_.wvu.Cols" localSheetId="0" hidden="1">'Saisie actif'!$G:$I</definedName>
    <definedName name="Z_A95FC2AB_6827_4373_949F_016B7E9CC643_.wvu.Cols" localSheetId="1" hidden="1">'Saisie passif'!$F:$F</definedName>
    <definedName name="Z_A95FC2AB_6827_4373_949F_016B7E9CC643_.wvu.Cols" localSheetId="2" hidden="1">'Saisie TCR'!$I:$J</definedName>
    <definedName name="_xlnm.Print_Area" localSheetId="8">Dette!$A$1:$N$42</definedName>
    <definedName name="_xlnm.Print_Area" localSheetId="4">Etatsfin!$A$1:$M$102</definedName>
    <definedName name="_xlnm.Print_Area" localSheetId="9">Graph!$A$1:$L$53</definedName>
    <definedName name="_xlnm.Print_Area" localSheetId="6">Hypo!$A$23:$N$71</definedName>
    <definedName name="_xlnm.Print_Area" localSheetId="7">PrSept!$A$18:$N$92,PrSept!$A$99:$N$168,PrSept!$A$198:$N$305</definedName>
    <definedName name="_xlnm.Print_Area" localSheetId="5">Ratios!$A$1:$G$58</definedName>
    <definedName name="_xlnm.Print_Area" localSheetId="3">Saisie!$B$1:$I$234</definedName>
    <definedName name="_xlnm.Print_Area" localSheetId="0">'Saisie actif'!$B$5:$P$37</definedName>
    <definedName name="_xlnm.Print_Area" localSheetId="1">'Saisie passif'!$B$4:$I$30</definedName>
    <definedName name="_xlnm.Print_Area" localSheetId="2">'Saisie TCR'!$B$4:$O$56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45" i="2" l="1"/>
  <c r="I144" i="2"/>
  <c r="I143" i="2"/>
  <c r="N214" i="2"/>
  <c r="N213" i="2" s="1"/>
  <c r="N208" i="2"/>
  <c r="N207" i="2"/>
  <c r="N206" i="2"/>
  <c r="N182" i="2"/>
  <c r="N181" i="2" s="1"/>
  <c r="N178" i="2"/>
  <c r="N176" i="2"/>
  <c r="N167" i="2"/>
  <c r="N166" i="2" s="1"/>
  <c r="N162" i="2"/>
  <c r="N161" i="2" s="1"/>
  <c r="N158" i="2"/>
  <c r="N157" i="2"/>
  <c r="N156" i="2" s="1"/>
  <c r="N153" i="2"/>
  <c r="N152" i="2"/>
  <c r="N150" i="2"/>
  <c r="N149" i="2"/>
  <c r="N147" i="2"/>
  <c r="N146" i="2"/>
  <c r="N145" i="2"/>
  <c r="N144" i="2"/>
  <c r="N143" i="2"/>
  <c r="N141" i="2"/>
  <c r="N135" i="2"/>
  <c r="N134" i="2"/>
  <c r="N131" i="2"/>
  <c r="N130" i="2" s="1"/>
  <c r="N129" i="2"/>
  <c r="N142" i="2" s="1"/>
  <c r="N128" i="2"/>
  <c r="N127" i="2"/>
  <c r="N124" i="2"/>
  <c r="N123" i="2"/>
  <c r="N122" i="2"/>
  <c r="N120" i="2"/>
  <c r="N118" i="2"/>
  <c r="N119" i="2" s="1"/>
  <c r="N113" i="2"/>
  <c r="N112" i="2" s="1"/>
  <c r="N111" i="2"/>
  <c r="N108" i="2"/>
  <c r="N104" i="2"/>
  <c r="N103" i="2"/>
  <c r="N101" i="2"/>
  <c r="N100" i="2"/>
  <c r="N98" i="2"/>
  <c r="N96" i="2"/>
  <c r="N89" i="2"/>
  <c r="N86" i="2" s="1"/>
  <c r="N83" i="2"/>
  <c r="N80" i="2"/>
  <c r="N78" i="2"/>
  <c r="N77" i="2" s="1"/>
  <c r="N76" i="2"/>
  <c r="N74" i="2"/>
  <c r="N73" i="2"/>
  <c r="N70" i="2"/>
  <c r="N67" i="2" s="1"/>
  <c r="N69" i="2"/>
  <c r="N68" i="2"/>
  <c r="N65" i="2"/>
  <c r="N64" i="2"/>
  <c r="N63" i="2"/>
  <c r="N62" i="2" s="1"/>
  <c r="N61" i="2"/>
  <c r="N59" i="2"/>
  <c r="N58" i="2" s="1"/>
  <c r="N52" i="2"/>
  <c r="N51" i="2"/>
  <c r="N49" i="2" s="1"/>
  <c r="N47" i="2"/>
  <c r="N46" i="2" s="1"/>
  <c r="N43" i="2"/>
  <c r="N39" i="2"/>
  <c r="N33" i="2"/>
  <c r="N32" i="2"/>
  <c r="N31" i="2"/>
  <c r="N30" i="2"/>
  <c r="N28" i="2"/>
  <c r="N26" i="2"/>
  <c r="N25" i="2"/>
  <c r="N24" i="2"/>
  <c r="N22" i="2"/>
  <c r="N20" i="2" s="1"/>
  <c r="N19" i="2"/>
  <c r="N18" i="2"/>
  <c r="N16" i="2"/>
  <c r="N15" i="2"/>
  <c r="N14" i="2"/>
  <c r="N13" i="2" s="1"/>
  <c r="N11" i="2"/>
  <c r="N10" i="2"/>
  <c r="N8" i="2"/>
  <c r="N4" i="2" s="1"/>
  <c r="N3" i="2"/>
  <c r="N194" i="2" s="1"/>
  <c r="N1" i="2"/>
  <c r="I98" i="2"/>
  <c r="I83" i="2"/>
  <c r="I80" i="2"/>
  <c r="J68" i="2"/>
  <c r="J16" i="2"/>
  <c r="I182" i="2"/>
  <c r="I178" i="2"/>
  <c r="I176" i="2"/>
  <c r="I167" i="2"/>
  <c r="I162" i="2"/>
  <c r="I157" i="2"/>
  <c r="I153" i="2"/>
  <c r="I152" i="2"/>
  <c r="I150" i="2"/>
  <c r="I147" i="2"/>
  <c r="I146" i="2"/>
  <c r="I141" i="2"/>
  <c r="I135" i="2"/>
  <c r="I131" i="2"/>
  <c r="I129" i="2"/>
  <c r="I142" i="2" s="1"/>
  <c r="I128" i="2"/>
  <c r="I127" i="2"/>
  <c r="I124" i="2"/>
  <c r="I123" i="2"/>
  <c r="I122" i="2"/>
  <c r="I113" i="2"/>
  <c r="I112" i="2" s="1"/>
  <c r="I111" i="2"/>
  <c r="I104" i="2"/>
  <c r="I103" i="2"/>
  <c r="I101" i="2"/>
  <c r="I100" i="2" s="1"/>
  <c r="I89" i="2"/>
  <c r="I78" i="2"/>
  <c r="I76" i="2"/>
  <c r="I74" i="2"/>
  <c r="I73" i="2"/>
  <c r="I70" i="2"/>
  <c r="I69" i="2"/>
  <c r="I68" i="2"/>
  <c r="I65" i="2"/>
  <c r="I64" i="2"/>
  <c r="I63" i="2"/>
  <c r="I61" i="2"/>
  <c r="I59" i="2"/>
  <c r="I58" i="2" s="1"/>
  <c r="I52" i="2"/>
  <c r="I51" i="2"/>
  <c r="I49" i="2" s="1"/>
  <c r="I33" i="2"/>
  <c r="I47" i="2"/>
  <c r="I46" i="2" s="1"/>
  <c r="I43" i="2"/>
  <c r="I39" i="2"/>
  <c r="I32" i="2"/>
  <c r="I31" i="2"/>
  <c r="I30" i="2"/>
  <c r="I28" i="2"/>
  <c r="I26" i="2"/>
  <c r="I25" i="2"/>
  <c r="I24" i="2"/>
  <c r="I22" i="2"/>
  <c r="I19" i="2"/>
  <c r="I18" i="2"/>
  <c r="I11" i="2"/>
  <c r="I10" i="2" s="1"/>
  <c r="I8" i="2"/>
  <c r="I4" i="2" s="1"/>
  <c r="F52" i="17"/>
  <c r="E52" i="17"/>
  <c r="F48" i="17"/>
  <c r="E48" i="17"/>
  <c r="F34" i="17"/>
  <c r="E34" i="17"/>
  <c r="F12" i="17"/>
  <c r="F16" i="17" s="1"/>
  <c r="E12" i="17"/>
  <c r="E16" i="17" s="1"/>
  <c r="H52" i="17"/>
  <c r="G52" i="17"/>
  <c r="H48" i="17"/>
  <c r="G48" i="17"/>
  <c r="H34" i="17"/>
  <c r="G34" i="17"/>
  <c r="H12" i="17"/>
  <c r="H16" i="17" s="1"/>
  <c r="G12" i="17"/>
  <c r="G16" i="17" s="1"/>
  <c r="D25" i="16"/>
  <c r="D22" i="16" s="1"/>
  <c r="D27" i="16" s="1"/>
  <c r="D16" i="16"/>
  <c r="D21" i="16" s="1"/>
  <c r="D5" i="16"/>
  <c r="D15" i="16" s="1"/>
  <c r="E25" i="16"/>
  <c r="E22" i="16"/>
  <c r="E27" i="16" s="1"/>
  <c r="E16" i="16"/>
  <c r="E21" i="16" s="1"/>
  <c r="E5" i="16"/>
  <c r="E15" i="16" s="1"/>
  <c r="F34" i="15"/>
  <c r="F33" i="15"/>
  <c r="E32" i="15"/>
  <c r="D32" i="15"/>
  <c r="F31" i="15"/>
  <c r="F30" i="15"/>
  <c r="F29" i="15"/>
  <c r="F28" i="15"/>
  <c r="F27" i="15"/>
  <c r="E27" i="15"/>
  <c r="D27" i="15"/>
  <c r="F26" i="15"/>
  <c r="E25" i="15"/>
  <c r="E35" i="15" s="1"/>
  <c r="D25" i="15"/>
  <c r="D35" i="15" s="1"/>
  <c r="F23" i="15"/>
  <c r="F22" i="15"/>
  <c r="F21" i="15"/>
  <c r="F18" i="15" s="1"/>
  <c r="F20" i="15"/>
  <c r="F19" i="15"/>
  <c r="E18" i="15"/>
  <c r="D18" i="15"/>
  <c r="F17" i="15"/>
  <c r="F16" i="15"/>
  <c r="F15" i="15"/>
  <c r="F12" i="15" s="1"/>
  <c r="F14" i="15"/>
  <c r="F13" i="15"/>
  <c r="E12" i="15"/>
  <c r="E9" i="15" s="1"/>
  <c r="E24" i="15" s="1"/>
  <c r="D12" i="15"/>
  <c r="F11" i="15"/>
  <c r="F10" i="15"/>
  <c r="D9" i="15"/>
  <c r="D24" i="15" s="1"/>
  <c r="R34" i="15"/>
  <c r="R33" i="15"/>
  <c r="R32" i="15" s="1"/>
  <c r="Q32" i="15"/>
  <c r="P32" i="15"/>
  <c r="R31" i="15"/>
  <c r="R30" i="15"/>
  <c r="R29" i="15"/>
  <c r="R28" i="15"/>
  <c r="R27" i="15" s="1"/>
  <c r="Q27" i="15"/>
  <c r="P27" i="15"/>
  <c r="R26" i="15"/>
  <c r="Q25" i="15"/>
  <c r="Q35" i="15" s="1"/>
  <c r="P25" i="15"/>
  <c r="P35" i="15" s="1"/>
  <c r="R23" i="15"/>
  <c r="R22" i="15"/>
  <c r="R18" i="15" s="1"/>
  <c r="R21" i="15"/>
  <c r="R20" i="15"/>
  <c r="R19" i="15"/>
  <c r="Q18" i="15"/>
  <c r="P18" i="15"/>
  <c r="R17" i="15"/>
  <c r="R16" i="15"/>
  <c r="R12" i="15" s="1"/>
  <c r="R15" i="15"/>
  <c r="R14" i="15"/>
  <c r="R13" i="15"/>
  <c r="Q12" i="15"/>
  <c r="Q9" i="15" s="1"/>
  <c r="Q24" i="15" s="1"/>
  <c r="P12" i="15"/>
  <c r="P9" i="15" s="1"/>
  <c r="P24" i="15" s="1"/>
  <c r="R11" i="15"/>
  <c r="R10" i="15"/>
  <c r="I34" i="15"/>
  <c r="I33" i="15"/>
  <c r="I32" i="15" s="1"/>
  <c r="H32" i="15"/>
  <c r="G32" i="15"/>
  <c r="I31" i="15"/>
  <c r="I30" i="15"/>
  <c r="I29" i="15"/>
  <c r="I27" i="15" s="1"/>
  <c r="I25" i="15" s="1"/>
  <c r="I35" i="15" s="1"/>
  <c r="I28" i="15"/>
  <c r="H27" i="15"/>
  <c r="G27" i="15"/>
  <c r="I26" i="15"/>
  <c r="H25" i="15"/>
  <c r="H35" i="15" s="1"/>
  <c r="G25" i="15"/>
  <c r="G35" i="15" s="1"/>
  <c r="I23" i="15"/>
  <c r="I18" i="15" s="1"/>
  <c r="I22" i="15"/>
  <c r="I21" i="15"/>
  <c r="I20" i="15"/>
  <c r="I19" i="15"/>
  <c r="H18" i="15"/>
  <c r="G18" i="15"/>
  <c r="I17" i="15"/>
  <c r="I16" i="15"/>
  <c r="I15" i="15"/>
  <c r="I14" i="15"/>
  <c r="I13" i="15"/>
  <c r="I12" i="15"/>
  <c r="H12" i="15"/>
  <c r="H9" i="15" s="1"/>
  <c r="H24" i="15" s="1"/>
  <c r="G12" i="15"/>
  <c r="G9" i="15" s="1"/>
  <c r="G24" i="15" s="1"/>
  <c r="I11" i="15"/>
  <c r="I10" i="15"/>
  <c r="N52" i="17"/>
  <c r="M52" i="17"/>
  <c r="L52" i="17"/>
  <c r="K52" i="17"/>
  <c r="J52" i="17"/>
  <c r="I52" i="17"/>
  <c r="N48" i="17"/>
  <c r="M48" i="17"/>
  <c r="L48" i="17"/>
  <c r="K48" i="17"/>
  <c r="J48" i="17"/>
  <c r="I48" i="17"/>
  <c r="N34" i="17"/>
  <c r="M34" i="17"/>
  <c r="L34" i="17"/>
  <c r="K34" i="17"/>
  <c r="J34" i="17"/>
  <c r="I34" i="17"/>
  <c r="K16" i="17"/>
  <c r="N12" i="17"/>
  <c r="I120" i="2" s="1"/>
  <c r="M12" i="17"/>
  <c r="M16" i="17" s="1"/>
  <c r="L12" i="17"/>
  <c r="L16" i="17" s="1"/>
  <c r="K12" i="17"/>
  <c r="J12" i="17"/>
  <c r="I12" i="17"/>
  <c r="I16" i="17" s="1"/>
  <c r="H25" i="16"/>
  <c r="H22" i="16" s="1"/>
  <c r="H27" i="16" s="1"/>
  <c r="G25" i="16"/>
  <c r="G22" i="16" s="1"/>
  <c r="G27" i="16" s="1"/>
  <c r="F22" i="16"/>
  <c r="F27" i="16" s="1"/>
  <c r="H16" i="16"/>
  <c r="H21" i="16" s="1"/>
  <c r="G16" i="16"/>
  <c r="G21" i="16" s="1"/>
  <c r="F16" i="16"/>
  <c r="F21" i="16" s="1"/>
  <c r="H5" i="16"/>
  <c r="H15" i="16" s="1"/>
  <c r="G5" i="16"/>
  <c r="G15" i="16" s="1"/>
  <c r="F5" i="16"/>
  <c r="F15" i="16" s="1"/>
  <c r="O34" i="15"/>
  <c r="L34" i="15"/>
  <c r="L32" i="15" s="1"/>
  <c r="O33" i="15"/>
  <c r="O32" i="15" s="1"/>
  <c r="L33" i="15"/>
  <c r="N32" i="15"/>
  <c r="M32" i="15"/>
  <c r="K32" i="15"/>
  <c r="J32" i="15"/>
  <c r="O31" i="15"/>
  <c r="L31" i="15"/>
  <c r="O30" i="15"/>
  <c r="L30" i="15"/>
  <c r="O29" i="15"/>
  <c r="L29" i="15"/>
  <c r="O28" i="15"/>
  <c r="L28" i="15"/>
  <c r="L27" i="15" s="1"/>
  <c r="N27" i="15"/>
  <c r="N25" i="15" s="1"/>
  <c r="N35" i="15" s="1"/>
  <c r="N36" i="15" s="1"/>
  <c r="M27" i="15"/>
  <c r="K27" i="15"/>
  <c r="J27" i="15"/>
  <c r="O26" i="15"/>
  <c r="L26" i="15"/>
  <c r="O23" i="15"/>
  <c r="L23" i="15"/>
  <c r="O22" i="15"/>
  <c r="L22" i="15"/>
  <c r="O21" i="15"/>
  <c r="L21" i="15"/>
  <c r="O20" i="15"/>
  <c r="L20" i="15"/>
  <c r="O19" i="15"/>
  <c r="O18" i="15" s="1"/>
  <c r="L19" i="15"/>
  <c r="L18" i="15" s="1"/>
  <c r="N18" i="15"/>
  <c r="M18" i="15"/>
  <c r="M9" i="15" s="1"/>
  <c r="M24" i="15" s="1"/>
  <c r="K18" i="15"/>
  <c r="J18" i="15"/>
  <c r="O17" i="15"/>
  <c r="L17" i="15"/>
  <c r="O16" i="15"/>
  <c r="L16" i="15"/>
  <c r="O15" i="15"/>
  <c r="L15" i="15"/>
  <c r="O14" i="15"/>
  <c r="L14" i="15"/>
  <c r="O13" i="15"/>
  <c r="L13" i="15"/>
  <c r="L12" i="15" s="1"/>
  <c r="O12" i="15"/>
  <c r="N12" i="15"/>
  <c r="M12" i="15"/>
  <c r="K12" i="15"/>
  <c r="J12" i="15"/>
  <c r="O11" i="15"/>
  <c r="L11" i="15"/>
  <c r="O10" i="15"/>
  <c r="L10" i="15"/>
  <c r="N9" i="15"/>
  <c r="N24" i="15" s="1"/>
  <c r="J16" i="17" l="1"/>
  <c r="N16" i="17"/>
  <c r="M35" i="17" s="1"/>
  <c r="I140" i="2"/>
  <c r="N126" i="2"/>
  <c r="I108" i="2"/>
  <c r="F9" i="15"/>
  <c r="F24" i="15" s="1"/>
  <c r="I9" i="15"/>
  <c r="I24" i="15" s="1"/>
  <c r="I36" i="15" s="1"/>
  <c r="R25" i="15"/>
  <c r="R35" i="15" s="1"/>
  <c r="I16" i="2"/>
  <c r="I15" i="2" s="1"/>
  <c r="O9" i="15"/>
  <c r="O24" i="15" s="1"/>
  <c r="R9" i="15"/>
  <c r="R24" i="15" s="1"/>
  <c r="R36" i="15" s="1"/>
  <c r="H36" i="15"/>
  <c r="J9" i="15"/>
  <c r="J24" i="15" s="1"/>
  <c r="O27" i="15"/>
  <c r="F25" i="15"/>
  <c r="F35" i="15" s="1"/>
  <c r="K25" i="15"/>
  <c r="K35" i="15" s="1"/>
  <c r="P36" i="15"/>
  <c r="D36" i="15"/>
  <c r="I14" i="2"/>
  <c r="I13" i="2" s="1"/>
  <c r="M25" i="15"/>
  <c r="M35" i="15" s="1"/>
  <c r="M36" i="15" s="1"/>
  <c r="F32" i="15"/>
  <c r="I37" i="2"/>
  <c r="N197" i="2"/>
  <c r="N37" i="2"/>
  <c r="N199" i="2" s="1"/>
  <c r="N17" i="2"/>
  <c r="N198" i="2" s="1"/>
  <c r="N125" i="2"/>
  <c r="N102" i="2"/>
  <c r="N151" i="2"/>
  <c r="N211" i="2"/>
  <c r="N71" i="2"/>
  <c r="N140" i="2"/>
  <c r="N210" i="2"/>
  <c r="I17" i="2"/>
  <c r="I126" i="2"/>
  <c r="I20" i="2"/>
  <c r="E35" i="17"/>
  <c r="F35" i="17"/>
  <c r="F38" i="17" s="1"/>
  <c r="G35" i="17"/>
  <c r="H35" i="17"/>
  <c r="D28" i="16"/>
  <c r="D29" i="16" s="1"/>
  <c r="D30" i="16" s="1"/>
  <c r="E28" i="16"/>
  <c r="E29" i="16" s="1"/>
  <c r="E30" i="16" s="1"/>
  <c r="F36" i="15"/>
  <c r="E36" i="15"/>
  <c r="J25" i="15"/>
  <c r="J35" i="15" s="1"/>
  <c r="J36" i="15" s="1"/>
  <c r="L25" i="15"/>
  <c r="L35" i="15" s="1"/>
  <c r="K9" i="15"/>
  <c r="K24" i="15" s="1"/>
  <c r="K36" i="15" s="1"/>
  <c r="Q36" i="15"/>
  <c r="G36" i="15"/>
  <c r="L35" i="17"/>
  <c r="K35" i="17"/>
  <c r="K38" i="17" s="1"/>
  <c r="N35" i="17"/>
  <c r="I35" i="17"/>
  <c r="I38" i="17" s="1"/>
  <c r="J35" i="17"/>
  <c r="F28" i="16"/>
  <c r="G28" i="16"/>
  <c r="H28" i="16"/>
  <c r="H29" i="16" s="1"/>
  <c r="H30" i="16" s="1"/>
  <c r="L9" i="15"/>
  <c r="L24" i="15" s="1"/>
  <c r="O25" i="15"/>
  <c r="O35" i="15" s="1"/>
  <c r="N38" i="17" l="1"/>
  <c r="N133" i="2"/>
  <c r="G38" i="17"/>
  <c r="L36" i="15"/>
  <c r="O36" i="15"/>
  <c r="N202" i="2"/>
  <c r="N218" i="2" s="1"/>
  <c r="N201" i="2"/>
  <c r="N148" i="2"/>
  <c r="N155" i="2" s="1"/>
  <c r="N165" i="2" s="1"/>
  <c r="N183" i="2" s="1"/>
  <c r="G29" i="16"/>
  <c r="G30" i="16" s="1"/>
  <c r="E38" i="17"/>
  <c r="E45" i="17" s="1"/>
  <c r="H38" i="17"/>
  <c r="H45" i="17" s="1"/>
  <c r="G45" i="17"/>
  <c r="G49" i="17" s="1"/>
  <c r="J38" i="17"/>
  <c r="J45" i="17" s="1"/>
  <c r="L38" i="17"/>
  <c r="L45" i="17" s="1"/>
  <c r="I45" i="17"/>
  <c r="I49" i="17" s="1"/>
  <c r="M38" i="17"/>
  <c r="M45" i="17" s="1"/>
  <c r="N185" i="2" l="1"/>
  <c r="N184" i="2"/>
  <c r="F45" i="17"/>
  <c r="F49" i="17" s="1"/>
  <c r="H49" i="17"/>
  <c r="H55" i="17" s="1"/>
  <c r="K45" i="17"/>
  <c r="K49" i="17" s="1"/>
  <c r="J49" i="17"/>
  <c r="J55" i="17" s="1"/>
  <c r="N45" i="17"/>
  <c r="N49" i="17" s="1"/>
  <c r="E49" i="17" l="1"/>
  <c r="E55" i="17" s="1"/>
  <c r="G55" i="17"/>
  <c r="L49" i="17"/>
  <c r="L55" i="17" s="1"/>
  <c r="I55" i="17"/>
  <c r="K55" i="17"/>
  <c r="M49" i="17"/>
  <c r="M55" i="17" s="1"/>
  <c r="F55" i="17" l="1"/>
  <c r="N55" i="17"/>
  <c r="H27" i="4" l="1"/>
  <c r="H17" i="4"/>
  <c r="H19" i="4"/>
  <c r="N25" i="4"/>
  <c r="N15" i="4"/>
  <c r="N13" i="4"/>
  <c r="H54" i="4"/>
  <c r="H151" i="2"/>
  <c r="G59" i="4" s="1"/>
  <c r="G144" i="7" s="1"/>
  <c r="I151" i="2"/>
  <c r="H161" i="2"/>
  <c r="I161" i="2"/>
  <c r="I181" i="2"/>
  <c r="H71" i="4" s="1"/>
  <c r="N44" i="4" s="1"/>
  <c r="I102" i="2"/>
  <c r="N27" i="4" s="1"/>
  <c r="H130" i="2"/>
  <c r="G49" i="4" s="1"/>
  <c r="I130" i="2"/>
  <c r="H49" i="4" s="1"/>
  <c r="H125" i="2"/>
  <c r="H126" i="2"/>
  <c r="H48" i="4"/>
  <c r="H134" i="2"/>
  <c r="G53" i="4" s="1"/>
  <c r="G129" i="7" s="1"/>
  <c r="I134" i="2"/>
  <c r="H53" i="4" s="1"/>
  <c r="H140" i="2"/>
  <c r="H149" i="2"/>
  <c r="G58" i="4" s="1"/>
  <c r="G143" i="7" s="1"/>
  <c r="I149" i="2"/>
  <c r="H58" i="4" s="1"/>
  <c r="H156" i="2"/>
  <c r="G63" i="4" s="1"/>
  <c r="I156" i="2"/>
  <c r="H63" i="4" s="1"/>
  <c r="H158" i="2"/>
  <c r="I158" i="2"/>
  <c r="H64" i="4" s="1"/>
  <c r="N58" i="4" s="1"/>
  <c r="H166" i="2"/>
  <c r="G69" i="4" s="1"/>
  <c r="I166" i="2"/>
  <c r="H181" i="2"/>
  <c r="G71" i="4" s="1"/>
  <c r="G163" i="7" s="1"/>
  <c r="I125" i="2"/>
  <c r="H100" i="2"/>
  <c r="M26" i="4" s="1"/>
  <c r="G77" i="7" s="1"/>
  <c r="N26" i="4"/>
  <c r="H112" i="2"/>
  <c r="N29" i="4"/>
  <c r="H91" i="4" s="1"/>
  <c r="H4" i="2"/>
  <c r="H10" i="2"/>
  <c r="H13" i="2"/>
  <c r="H15" i="2"/>
  <c r="H20" i="2"/>
  <c r="H198" i="2" s="1"/>
  <c r="H18" i="4"/>
  <c r="H37" i="2"/>
  <c r="G23" i="4" s="1"/>
  <c r="H23" i="4"/>
  <c r="H46" i="2"/>
  <c r="G25" i="4" s="1"/>
  <c r="G45" i="7" s="1"/>
  <c r="H25" i="4"/>
  <c r="H49" i="2"/>
  <c r="G26" i="4" s="1"/>
  <c r="G46" i="7" s="1"/>
  <c r="H62" i="2"/>
  <c r="G28" i="4" s="1"/>
  <c r="I62" i="2"/>
  <c r="H28" i="4" s="1"/>
  <c r="H71" i="2"/>
  <c r="M11" i="4" s="1"/>
  <c r="I71" i="2"/>
  <c r="N11" i="4" s="1"/>
  <c r="I77" i="2"/>
  <c r="N12" i="4" s="1"/>
  <c r="H77" i="2"/>
  <c r="M12" i="4" s="1"/>
  <c r="G57" i="7" s="1"/>
  <c r="H86" i="2"/>
  <c r="M19" i="4" s="1"/>
  <c r="I86" i="2"/>
  <c r="N19" i="4" s="1"/>
  <c r="R119" i="2"/>
  <c r="H67" i="2"/>
  <c r="M10" i="4" s="1"/>
  <c r="I67" i="2"/>
  <c r="N10" i="4" s="1"/>
  <c r="N96" i="4"/>
  <c r="N100" i="4" s="1"/>
  <c r="H5" i="4"/>
  <c r="G5" i="4"/>
  <c r="G26" i="7" s="1"/>
  <c r="N34" i="4"/>
  <c r="H41" i="4"/>
  <c r="H87" i="4" s="1"/>
  <c r="H43" i="4"/>
  <c r="H65" i="4"/>
  <c r="N49" i="4"/>
  <c r="N50" i="4"/>
  <c r="N28" i="4"/>
  <c r="N65" i="4"/>
  <c r="N57" i="4"/>
  <c r="N64" i="4"/>
  <c r="G27" i="4"/>
  <c r="G17" i="4"/>
  <c r="G38" i="7" s="1"/>
  <c r="H38" i="7" s="1"/>
  <c r="I38" i="7" s="1"/>
  <c r="J38" i="7" s="1"/>
  <c r="K38" i="7" s="1"/>
  <c r="L38" i="7" s="1"/>
  <c r="M38" i="7" s="1"/>
  <c r="N38" i="7" s="1"/>
  <c r="G19" i="4"/>
  <c r="G39" i="7" s="1"/>
  <c r="H39" i="7" s="1"/>
  <c r="I39" i="7" s="1"/>
  <c r="J39" i="7" s="1"/>
  <c r="K39" i="7" s="1"/>
  <c r="L39" i="7" s="1"/>
  <c r="M39" i="7" s="1"/>
  <c r="N39" i="7" s="1"/>
  <c r="N68" i="4"/>
  <c r="N36" i="4"/>
  <c r="N35" i="4"/>
  <c r="N20" i="4"/>
  <c r="H88" i="4"/>
  <c r="G41" i="4"/>
  <c r="G104" i="7" s="1"/>
  <c r="G34" i="6" s="1"/>
  <c r="F5" i="4"/>
  <c r="F26" i="7" s="1"/>
  <c r="H59" i="4"/>
  <c r="H34" i="4"/>
  <c r="H24" i="4"/>
  <c r="I214" i="2"/>
  <c r="I213" i="2" s="1"/>
  <c r="I194" i="2"/>
  <c r="I96" i="2"/>
  <c r="N21" i="4" s="1"/>
  <c r="I1" i="2"/>
  <c r="G98" i="2"/>
  <c r="L25" i="4" s="1"/>
  <c r="F76" i="7" s="1"/>
  <c r="M13" i="4"/>
  <c r="G58" i="7" s="1"/>
  <c r="H58" i="7" s="1"/>
  <c r="I58" i="7" s="1"/>
  <c r="J58" i="7" s="1"/>
  <c r="K58" i="7" s="1"/>
  <c r="L58" i="7" s="1"/>
  <c r="M58" i="7" s="1"/>
  <c r="N58" i="7" s="1"/>
  <c r="M25" i="4"/>
  <c r="M29" i="4"/>
  <c r="G80" i="7" s="1"/>
  <c r="M15" i="4"/>
  <c r="G60" i="7" s="1"/>
  <c r="H60" i="7" s="1"/>
  <c r="I60" i="7" s="1"/>
  <c r="J60" i="7" s="1"/>
  <c r="K60" i="7" s="1"/>
  <c r="L60" i="7" s="1"/>
  <c r="M60" i="7" s="1"/>
  <c r="N60" i="7" s="1"/>
  <c r="E98" i="2"/>
  <c r="J25" i="4" s="1"/>
  <c r="G168" i="2"/>
  <c r="G166" i="2" s="1"/>
  <c r="F69" i="4" s="1"/>
  <c r="G214" i="2"/>
  <c r="G213" i="2" s="1"/>
  <c r="G37" i="2"/>
  <c r="G46" i="2"/>
  <c r="F25" i="4" s="1"/>
  <c r="F45" i="7" s="1"/>
  <c r="G50" i="2"/>
  <c r="G49" i="2" s="1"/>
  <c r="F26" i="4" s="1"/>
  <c r="F46" i="7" s="1"/>
  <c r="G58" i="2"/>
  <c r="F27" i="4" s="1"/>
  <c r="G62" i="2"/>
  <c r="F28" i="4" s="1"/>
  <c r="G17" i="2"/>
  <c r="G26" i="2"/>
  <c r="G20" i="2" s="1"/>
  <c r="G33" i="2"/>
  <c r="F19" i="4" s="1"/>
  <c r="F39" i="7" s="1"/>
  <c r="G208" i="2"/>
  <c r="G207" i="2"/>
  <c r="G151" i="2"/>
  <c r="F59" i="4" s="1"/>
  <c r="F144" i="7" s="1"/>
  <c r="G206" i="2"/>
  <c r="G4" i="2"/>
  <c r="G14" i="2"/>
  <c r="G13" i="2" s="1"/>
  <c r="G194" i="2"/>
  <c r="G120" i="2"/>
  <c r="G125" i="2" s="1"/>
  <c r="G126" i="2"/>
  <c r="F48" i="4" s="1"/>
  <c r="F115" i="7" s="1"/>
  <c r="G130" i="2"/>
  <c r="F49" i="4" s="1"/>
  <c r="G134" i="2"/>
  <c r="F53" i="4" s="1"/>
  <c r="F129" i="7" s="1"/>
  <c r="G141" i="2"/>
  <c r="G142" i="2"/>
  <c r="G143" i="2"/>
  <c r="G144" i="2"/>
  <c r="G159" i="2"/>
  <c r="G145" i="2" s="1"/>
  <c r="G147" i="2"/>
  <c r="G149" i="2"/>
  <c r="F58" i="4" s="1"/>
  <c r="F143" i="7" s="1"/>
  <c r="G156" i="2"/>
  <c r="F63" i="4" s="1"/>
  <c r="F149" i="7" s="1"/>
  <c r="G161" i="2"/>
  <c r="F65" i="4" s="1"/>
  <c r="F151" i="7" s="1"/>
  <c r="G182" i="2"/>
  <c r="G181" i="2" s="1"/>
  <c r="F71" i="4" s="1"/>
  <c r="G10" i="2"/>
  <c r="G16" i="2"/>
  <c r="G15" i="2" s="1"/>
  <c r="G67" i="2"/>
  <c r="G72" i="2"/>
  <c r="G76" i="2"/>
  <c r="G77" i="2"/>
  <c r="L12" i="4" s="1"/>
  <c r="F57" i="7" s="1"/>
  <c r="G80" i="2"/>
  <c r="L13" i="4" s="1"/>
  <c r="F58" i="7" s="1"/>
  <c r="G83" i="2"/>
  <c r="L15" i="4" s="1"/>
  <c r="F60" i="7" s="1"/>
  <c r="G86" i="2"/>
  <c r="L19" i="4" s="1"/>
  <c r="G96" i="2"/>
  <c r="L21" i="4" s="1"/>
  <c r="G100" i="2"/>
  <c r="L26" i="4" s="1"/>
  <c r="F77" i="7" s="1"/>
  <c r="G103" i="2"/>
  <c r="G108" i="2"/>
  <c r="G112" i="2"/>
  <c r="L29" i="4" s="1"/>
  <c r="F80" i="7" s="1"/>
  <c r="G65" i="2"/>
  <c r="F34" i="4" s="1"/>
  <c r="H108" i="2"/>
  <c r="H102" i="2" s="1"/>
  <c r="M27" i="4" s="1"/>
  <c r="H96" i="2"/>
  <c r="M21" i="4" s="1"/>
  <c r="M20" i="4"/>
  <c r="G20" i="12" s="1"/>
  <c r="G22" i="12" s="1"/>
  <c r="M28" i="4"/>
  <c r="G79" i="7" s="1"/>
  <c r="F39" i="2"/>
  <c r="F37" i="2" s="1"/>
  <c r="F46" i="2"/>
  <c r="E25" i="4" s="1"/>
  <c r="E45" i="7" s="1"/>
  <c r="F49" i="2"/>
  <c r="E26" i="4" s="1"/>
  <c r="E46" i="7" s="1"/>
  <c r="F58" i="2"/>
  <c r="E27" i="4" s="1"/>
  <c r="F62" i="2"/>
  <c r="E28" i="4" s="1"/>
  <c r="F4" i="2"/>
  <c r="F14" i="2"/>
  <c r="F13" i="2" s="1"/>
  <c r="F10" i="2"/>
  <c r="F16" i="2"/>
  <c r="F15" i="2" s="1"/>
  <c r="F17" i="2"/>
  <c r="E17" i="4" s="1"/>
  <c r="F20" i="2"/>
  <c r="E18" i="4" s="1"/>
  <c r="F33" i="2"/>
  <c r="E19" i="4" s="1"/>
  <c r="E39" i="7" s="1"/>
  <c r="F120" i="2"/>
  <c r="F125" i="2" s="1"/>
  <c r="F126" i="2"/>
  <c r="E48" i="4" s="1"/>
  <c r="F130" i="2"/>
  <c r="E49" i="4" s="1"/>
  <c r="F134" i="2"/>
  <c r="E53" i="4" s="1"/>
  <c r="E129" i="7" s="1"/>
  <c r="F142" i="2"/>
  <c r="F143" i="2"/>
  <c r="F144" i="2"/>
  <c r="F158" i="2"/>
  <c r="F145" i="2" s="1"/>
  <c r="F149" i="2"/>
  <c r="E58" i="4" s="1"/>
  <c r="E143" i="7" s="1"/>
  <c r="F151" i="2"/>
  <c r="F156" i="2"/>
  <c r="E63" i="4" s="1"/>
  <c r="E149" i="7" s="1"/>
  <c r="F161" i="2"/>
  <c r="E65" i="4" s="1"/>
  <c r="F166" i="2"/>
  <c r="E69" i="4" s="1"/>
  <c r="F182" i="2"/>
  <c r="F181" i="2" s="1"/>
  <c r="E71" i="4" s="1"/>
  <c r="E125" i="2"/>
  <c r="E126" i="2"/>
  <c r="D48" i="4" s="1"/>
  <c r="E130" i="2"/>
  <c r="D49" i="4" s="1"/>
  <c r="E134" i="2"/>
  <c r="E141" i="2"/>
  <c r="E142" i="2"/>
  <c r="E143" i="2"/>
  <c r="E144" i="2"/>
  <c r="E158" i="2"/>
  <c r="E145" i="2" s="1"/>
  <c r="E147" i="2"/>
  <c r="E149" i="2"/>
  <c r="D58" i="4" s="1"/>
  <c r="E151" i="2"/>
  <c r="D59" i="4" s="1"/>
  <c r="E156" i="2"/>
  <c r="D63" i="4" s="1"/>
  <c r="E161" i="2"/>
  <c r="D65" i="4" s="1"/>
  <c r="E168" i="2"/>
  <c r="E166" i="2" s="1"/>
  <c r="D69" i="4" s="1"/>
  <c r="E182" i="2"/>
  <c r="E181" i="2" s="1"/>
  <c r="D71" i="4" s="1"/>
  <c r="J44" i="4" s="1"/>
  <c r="F112" i="2"/>
  <c r="K29" i="4" s="1"/>
  <c r="E112" i="2"/>
  <c r="J29" i="4" s="1"/>
  <c r="F103" i="2"/>
  <c r="F102" i="2" s="1"/>
  <c r="K27" i="4" s="1"/>
  <c r="E78" i="7" s="1"/>
  <c r="E103" i="2"/>
  <c r="E102" i="2" s="1"/>
  <c r="J27" i="4" s="1"/>
  <c r="F100" i="2"/>
  <c r="K26" i="4" s="1"/>
  <c r="E100" i="2"/>
  <c r="J26" i="4" s="1"/>
  <c r="F98" i="2"/>
  <c r="K25" i="4" s="1"/>
  <c r="E76" i="7" s="1"/>
  <c r="F96" i="2"/>
  <c r="K21" i="4" s="1"/>
  <c r="E96" i="2"/>
  <c r="J21" i="4" s="1"/>
  <c r="F86" i="2"/>
  <c r="K19" i="4" s="1"/>
  <c r="E86" i="2"/>
  <c r="J19" i="4" s="1"/>
  <c r="F83" i="2"/>
  <c r="K15" i="4" s="1"/>
  <c r="E83" i="2"/>
  <c r="J15" i="4" s="1"/>
  <c r="F80" i="2"/>
  <c r="K13" i="4" s="1"/>
  <c r="E58" i="7" s="1"/>
  <c r="E80" i="2"/>
  <c r="J13" i="4" s="1"/>
  <c r="F78" i="2"/>
  <c r="F77" i="2" s="1"/>
  <c r="K12" i="4" s="1"/>
  <c r="E57" i="7" s="1"/>
  <c r="E78" i="2"/>
  <c r="E77" i="2" s="1"/>
  <c r="J12" i="4" s="1"/>
  <c r="F71" i="2"/>
  <c r="K11" i="4" s="1"/>
  <c r="E71" i="2"/>
  <c r="J11" i="4" s="1"/>
  <c r="F67" i="2"/>
  <c r="E67" i="2"/>
  <c r="F65" i="2"/>
  <c r="E65" i="2"/>
  <c r="D34" i="4" s="1"/>
  <c r="E62" i="2"/>
  <c r="E58" i="2"/>
  <c r="D27" i="4" s="1"/>
  <c r="E49" i="2"/>
  <c r="D26" i="4" s="1"/>
  <c r="E46" i="2"/>
  <c r="D25" i="4" s="1"/>
  <c r="E37" i="2"/>
  <c r="D23" i="4" s="1"/>
  <c r="E33" i="2"/>
  <c r="D19" i="4" s="1"/>
  <c r="E20" i="2"/>
  <c r="D18" i="4" s="1"/>
  <c r="E17" i="2"/>
  <c r="D17" i="4" s="1"/>
  <c r="E16" i="2"/>
  <c r="E15" i="2" s="1"/>
  <c r="E14" i="2"/>
  <c r="E13" i="2" s="1"/>
  <c r="E10" i="2"/>
  <c r="E4" i="2"/>
  <c r="L32" i="12"/>
  <c r="L21" i="12"/>
  <c r="B41" i="12"/>
  <c r="B39" i="12"/>
  <c r="B24" i="12"/>
  <c r="N41" i="12"/>
  <c r="H35" i="12"/>
  <c r="I35" i="12"/>
  <c r="J35" i="12"/>
  <c r="K35" i="12"/>
  <c r="L35" i="12"/>
  <c r="M35" i="12"/>
  <c r="P35" i="12"/>
  <c r="Q35" i="12"/>
  <c r="R35" i="12"/>
  <c r="S35" i="12"/>
  <c r="H36" i="12"/>
  <c r="I36" i="12"/>
  <c r="J36" i="12"/>
  <c r="K36" i="12"/>
  <c r="H32" i="12"/>
  <c r="H21" i="12"/>
  <c r="I32" i="12"/>
  <c r="I21" i="12" s="1"/>
  <c r="J32" i="12"/>
  <c r="J21" i="12"/>
  <c r="K32" i="12"/>
  <c r="K21" i="12" s="1"/>
  <c r="L36" i="12"/>
  <c r="M36" i="12"/>
  <c r="M32" i="12"/>
  <c r="M21" i="12" s="1"/>
  <c r="N32" i="12"/>
  <c r="O32" i="12"/>
  <c r="P32" i="12"/>
  <c r="S32" i="12"/>
  <c r="R32" i="12"/>
  <c r="Q32" i="12"/>
  <c r="M2" i="12"/>
  <c r="N21" i="12"/>
  <c r="N36" i="12"/>
  <c r="N35" i="12"/>
  <c r="O35" i="12"/>
  <c r="E10" i="12"/>
  <c r="H10" i="12"/>
  <c r="M20" i="7"/>
  <c r="M4" i="12" s="1"/>
  <c r="P21" i="7"/>
  <c r="A1" i="12" s="1"/>
  <c r="H218" i="7"/>
  <c r="H14" i="12"/>
  <c r="I218" i="7"/>
  <c r="I14" i="12"/>
  <c r="J218" i="7"/>
  <c r="J14" i="12"/>
  <c r="K218" i="7"/>
  <c r="K14" i="12" s="1"/>
  <c r="L218" i="7"/>
  <c r="L14" i="12"/>
  <c r="N218" i="7"/>
  <c r="N14" i="12"/>
  <c r="O14" i="12"/>
  <c r="P14" i="12"/>
  <c r="Q14" i="12" s="1"/>
  <c r="R14" i="12" s="1"/>
  <c r="S14" i="12" s="1"/>
  <c r="M218" i="7"/>
  <c r="M14" i="12"/>
  <c r="L20" i="4"/>
  <c r="F20" i="12" s="1"/>
  <c r="F22" i="12" s="1"/>
  <c r="K20" i="4"/>
  <c r="E20" i="12" s="1"/>
  <c r="E22" i="12" s="1"/>
  <c r="D2" i="4"/>
  <c r="B19" i="7" s="1"/>
  <c r="B24" i="6" s="1"/>
  <c r="L68" i="4"/>
  <c r="F256" i="7" s="1"/>
  <c r="F17" i="12" s="1"/>
  <c r="M68" i="4"/>
  <c r="G256" i="7" s="1"/>
  <c r="G17" i="12" s="1"/>
  <c r="K68" i="4"/>
  <c r="E256" i="7" s="1"/>
  <c r="E17" i="12" s="1"/>
  <c r="K28" i="4"/>
  <c r="E79" i="7" s="1"/>
  <c r="K34" i="4"/>
  <c r="E89" i="7" s="1"/>
  <c r="E43" i="4"/>
  <c r="E113" i="7"/>
  <c r="E44" i="4"/>
  <c r="E114" i="7" s="1"/>
  <c r="G43" i="4"/>
  <c r="G65" i="4"/>
  <c r="G151" i="7" s="1"/>
  <c r="G64" i="4"/>
  <c r="M58" i="4" s="1"/>
  <c r="G220" i="7" s="1"/>
  <c r="G44" i="4"/>
  <c r="G114" i="7" s="1"/>
  <c r="G48" i="4"/>
  <c r="G115" i="7" s="1"/>
  <c r="G54" i="4"/>
  <c r="G131" i="7" s="1"/>
  <c r="G68" i="6"/>
  <c r="L3" i="6"/>
  <c r="O22" i="7"/>
  <c r="H103" i="7"/>
  <c r="M3" i="6"/>
  <c r="P22" i="7"/>
  <c r="I224" i="7" s="1"/>
  <c r="I103" i="7"/>
  <c r="J103" i="7"/>
  <c r="K103" i="7"/>
  <c r="L103" i="7"/>
  <c r="M103" i="7"/>
  <c r="N103" i="7"/>
  <c r="N134" i="7"/>
  <c r="N143" i="7"/>
  <c r="N297" i="7" s="1"/>
  <c r="H134" i="7"/>
  <c r="H143" i="7"/>
  <c r="H297" i="7" s="1"/>
  <c r="H150" i="7"/>
  <c r="H156" i="7"/>
  <c r="H157" i="7"/>
  <c r="H158" i="7"/>
  <c r="H159" i="7"/>
  <c r="H160" i="7"/>
  <c r="H161" i="7"/>
  <c r="T233" i="7"/>
  <c r="T234" i="7"/>
  <c r="H219" i="7" s="1"/>
  <c r="H117" i="7"/>
  <c r="T224" i="7"/>
  <c r="H224" i="7"/>
  <c r="M34" i="4"/>
  <c r="G89" i="7" s="1"/>
  <c r="I134" i="7"/>
  <c r="I143" i="7"/>
  <c r="I297" i="7" s="1"/>
  <c r="I150" i="7"/>
  <c r="I156" i="7"/>
  <c r="I157" i="7"/>
  <c r="I158" i="7"/>
  <c r="I159" i="7"/>
  <c r="I160" i="7"/>
  <c r="I161" i="7"/>
  <c r="I219" i="7"/>
  <c r="I233" i="7" s="1"/>
  <c r="I117" i="7"/>
  <c r="J134" i="7"/>
  <c r="J143" i="7"/>
  <c r="J297" i="7" s="1"/>
  <c r="J150" i="7"/>
  <c r="J156" i="7"/>
  <c r="J157" i="7"/>
  <c r="J158" i="7"/>
  <c r="J159" i="7"/>
  <c r="J160" i="7"/>
  <c r="J161" i="7"/>
  <c r="J219" i="7"/>
  <c r="J233" i="7" s="1"/>
  <c r="J117" i="7"/>
  <c r="K134" i="7"/>
  <c r="K143" i="7"/>
  <c r="K297" i="7" s="1"/>
  <c r="K150" i="7"/>
  <c r="K156" i="7"/>
  <c r="K157" i="7"/>
  <c r="K158" i="7"/>
  <c r="K159" i="7"/>
  <c r="K160" i="7"/>
  <c r="K161" i="7"/>
  <c r="K219" i="7"/>
  <c r="K233" i="7" s="1"/>
  <c r="K117" i="7"/>
  <c r="L134" i="7"/>
  <c r="L143" i="7"/>
  <c r="L297" i="7" s="1"/>
  <c r="L150" i="7"/>
  <c r="L156" i="7"/>
  <c r="L157" i="7"/>
  <c r="L158" i="7"/>
  <c r="L159" i="7"/>
  <c r="L160" i="7"/>
  <c r="L161" i="7"/>
  <c r="L219" i="7"/>
  <c r="L233" i="7"/>
  <c r="L117" i="7"/>
  <c r="M134" i="7"/>
  <c r="M143" i="7"/>
  <c r="M150" i="7"/>
  <c r="M156" i="7"/>
  <c r="M157" i="7"/>
  <c r="M158" i="7"/>
  <c r="M159" i="7"/>
  <c r="M160" i="7"/>
  <c r="M161" i="7"/>
  <c r="M219" i="7"/>
  <c r="M233" i="7" s="1"/>
  <c r="M117" i="7"/>
  <c r="M224" i="7"/>
  <c r="N150" i="7"/>
  <c r="N156" i="7"/>
  <c r="N157" i="7"/>
  <c r="N158" i="7"/>
  <c r="N159" i="7"/>
  <c r="N160" i="7"/>
  <c r="N161" i="7"/>
  <c r="N219" i="7"/>
  <c r="N233" i="7" s="1"/>
  <c r="N117" i="7"/>
  <c r="N224" i="7"/>
  <c r="N16" i="7"/>
  <c r="I16" i="7"/>
  <c r="H16" i="7"/>
  <c r="J16" i="7"/>
  <c r="K16" i="7"/>
  <c r="L16" i="7"/>
  <c r="M16" i="7"/>
  <c r="E5" i="4"/>
  <c r="E26" i="7" s="1"/>
  <c r="J34" i="4"/>
  <c r="E80" i="7"/>
  <c r="D5" i="4"/>
  <c r="J39" i="4" s="1"/>
  <c r="D28" i="4"/>
  <c r="E59" i="4"/>
  <c r="E144" i="7" s="1"/>
  <c r="L34" i="4"/>
  <c r="F89" i="7" s="1"/>
  <c r="E60" i="7"/>
  <c r="F43" i="4"/>
  <c r="F44" i="4"/>
  <c r="F114" i="7" s="1"/>
  <c r="M49" i="4"/>
  <c r="G211" i="7" s="1"/>
  <c r="M50" i="4"/>
  <c r="G212" i="7" s="1"/>
  <c r="L28" i="4"/>
  <c r="F79" i="7" s="1"/>
  <c r="J64" i="4"/>
  <c r="M57" i="4"/>
  <c r="G219" i="7" s="1"/>
  <c r="M65" i="4"/>
  <c r="G232" i="7" s="1"/>
  <c r="G59" i="6" s="1"/>
  <c r="G88" i="4"/>
  <c r="F88" i="4"/>
  <c r="D88" i="4"/>
  <c r="E88" i="4"/>
  <c r="M35" i="4"/>
  <c r="M96" i="4"/>
  <c r="M100" i="4" s="1"/>
  <c r="L35" i="4"/>
  <c r="F90" i="7" s="1"/>
  <c r="L96" i="4"/>
  <c r="L100" i="4" s="1"/>
  <c r="O4" i="4"/>
  <c r="D6" i="4" s="1"/>
  <c r="L65" i="4"/>
  <c r="F232" i="7" s="1"/>
  <c r="F59" i="6" s="1"/>
  <c r="D43" i="4"/>
  <c r="D44" i="4"/>
  <c r="K96" i="4"/>
  <c r="J96" i="4"/>
  <c r="L57" i="4"/>
  <c r="F219" i="7" s="1"/>
  <c r="K57" i="4"/>
  <c r="E219" i="7" s="1"/>
  <c r="J28" i="4"/>
  <c r="J57" i="4"/>
  <c r="J35" i="4"/>
  <c r="K35" i="4"/>
  <c r="E90" i="7" s="1"/>
  <c r="K65" i="4"/>
  <c r="E232" i="7" s="1"/>
  <c r="E59" i="6" s="1"/>
  <c r="J65" i="4"/>
  <c r="K36" i="4"/>
  <c r="J36" i="4"/>
  <c r="D3" i="4"/>
  <c r="E2" i="3" s="1"/>
  <c r="L1" i="4"/>
  <c r="L36" i="4"/>
  <c r="M36" i="4"/>
  <c r="D1" i="4"/>
  <c r="O1" i="4" s="1"/>
  <c r="G24" i="4"/>
  <c r="C24" i="4"/>
  <c r="F24" i="4"/>
  <c r="E24" i="4"/>
  <c r="D24" i="4"/>
  <c r="J68" i="4"/>
  <c r="D21" i="3" s="1"/>
  <c r="J20" i="4"/>
  <c r="G34" i="4"/>
  <c r="L39" i="4"/>
  <c r="L77" i="4" s="1"/>
  <c r="C5" i="4"/>
  <c r="L5" i="4"/>
  <c r="D4" i="2"/>
  <c r="D10" i="2"/>
  <c r="D17" i="2"/>
  <c r="C17" i="4" s="1"/>
  <c r="E34" i="4"/>
  <c r="D58" i="2"/>
  <c r="C27" i="4" s="1"/>
  <c r="J50" i="4"/>
  <c r="C41" i="4"/>
  <c r="D41" i="4"/>
  <c r="J49" i="4"/>
  <c r="D13" i="2"/>
  <c r="D15" i="2"/>
  <c r="D20" i="2"/>
  <c r="D33" i="2"/>
  <c r="C19" i="4" s="1"/>
  <c r="D37" i="2"/>
  <c r="C23" i="4" s="1"/>
  <c r="D46" i="2"/>
  <c r="C25" i="4" s="1"/>
  <c r="D49" i="2"/>
  <c r="C26" i="4" s="1"/>
  <c r="D62" i="2"/>
  <c r="C28" i="4" s="1"/>
  <c r="D53" i="4"/>
  <c r="D67" i="2"/>
  <c r="D71" i="2"/>
  <c r="D77" i="2"/>
  <c r="D80" i="2"/>
  <c r="D86" i="2"/>
  <c r="D96" i="2"/>
  <c r="D112" i="2"/>
  <c r="D100" i="2"/>
  <c r="D98" i="2"/>
  <c r="D102" i="2"/>
  <c r="F214" i="2"/>
  <c r="F213" i="2" s="1"/>
  <c r="E214" i="2"/>
  <c r="E213" i="2" s="1"/>
  <c r="H214" i="2"/>
  <c r="H213" i="2" s="1"/>
  <c r="L52" i="13"/>
  <c r="K3" i="13"/>
  <c r="K5" i="13"/>
  <c r="A1" i="13"/>
  <c r="N23" i="6"/>
  <c r="M23" i="6"/>
  <c r="E65" i="6"/>
  <c r="E158" i="7" s="1"/>
  <c r="F65" i="6"/>
  <c r="F158" i="7" s="1"/>
  <c r="G65" i="6"/>
  <c r="G158" i="7" s="1"/>
  <c r="E29" i="6"/>
  <c r="H29" i="6"/>
  <c r="E43" i="6"/>
  <c r="R43" i="6"/>
  <c r="R44" i="6"/>
  <c r="F46" i="6"/>
  <c r="E46" i="6"/>
  <c r="G46" i="6"/>
  <c r="O21" i="7"/>
  <c r="A34" i="6"/>
  <c r="O34" i="6" s="1"/>
  <c r="B56" i="6"/>
  <c r="R56" i="6" s="1"/>
  <c r="B43" i="6"/>
  <c r="Q43" i="6" s="1"/>
  <c r="G160" i="7"/>
  <c r="G66" i="6" s="1"/>
  <c r="F160" i="7"/>
  <c r="F66" i="6" s="1"/>
  <c r="E160" i="7"/>
  <c r="E66" i="6" s="1"/>
  <c r="N258" i="7"/>
  <c r="N257" i="7"/>
  <c r="N232" i="7"/>
  <c r="N220" i="7"/>
  <c r="M258" i="7"/>
  <c r="M257" i="7"/>
  <c r="M232" i="7"/>
  <c r="M220" i="7"/>
  <c r="L258" i="7"/>
  <c r="L257" i="7"/>
  <c r="L232" i="7"/>
  <c r="L220" i="7"/>
  <c r="K258" i="7"/>
  <c r="K257" i="7"/>
  <c r="K232" i="7"/>
  <c r="K220" i="7"/>
  <c r="J258" i="7"/>
  <c r="J257" i="7"/>
  <c r="J232" i="7"/>
  <c r="J220" i="7"/>
  <c r="I258" i="7"/>
  <c r="I257" i="7"/>
  <c r="I232" i="7"/>
  <c r="I220" i="7"/>
  <c r="H258" i="7"/>
  <c r="H257" i="7"/>
  <c r="H232" i="7"/>
  <c r="H220" i="7"/>
  <c r="E226" i="7"/>
  <c r="F226" i="7"/>
  <c r="F236" i="7"/>
  <c r="E236" i="7"/>
  <c r="E230" i="7"/>
  <c r="F229" i="7"/>
  <c r="E229" i="7"/>
  <c r="F228" i="7"/>
  <c r="E228" i="7"/>
  <c r="F227" i="7"/>
  <c r="E227" i="7"/>
  <c r="G227" i="7"/>
  <c r="S230" i="7"/>
  <c r="S227" i="7"/>
  <c r="S242" i="7"/>
  <c r="S239" i="7"/>
  <c r="S248" i="7"/>
  <c r="S245" i="7"/>
  <c r="S253" i="7"/>
  <c r="S251" i="7"/>
  <c r="F71" i="7"/>
  <c r="F72" i="7"/>
  <c r="E72" i="7" s="1"/>
  <c r="F73" i="7"/>
  <c r="E71" i="7"/>
  <c r="E73" i="7"/>
  <c r="E106" i="7"/>
  <c r="F106" i="7"/>
  <c r="H267" i="7"/>
  <c r="E267" i="7"/>
  <c r="H200" i="7"/>
  <c r="E200" i="7"/>
  <c r="H100" i="7"/>
  <c r="E100" i="7"/>
  <c r="H52" i="7"/>
  <c r="E52" i="7"/>
  <c r="A72" i="7"/>
  <c r="O72" i="7"/>
  <c r="O252" i="7"/>
  <c r="H69" i="7"/>
  <c r="I69" i="7" s="1"/>
  <c r="J69" i="7" s="1"/>
  <c r="K69" i="7" s="1"/>
  <c r="L69" i="7" s="1"/>
  <c r="M69" i="7" s="1"/>
  <c r="N69" i="7" s="1"/>
  <c r="H68" i="7"/>
  <c r="I68" i="7"/>
  <c r="J68" i="7" s="1"/>
  <c r="K68" i="7" s="1"/>
  <c r="L68" i="7" s="1"/>
  <c r="M68" i="7" s="1"/>
  <c r="N68" i="7" s="1"/>
  <c r="H67" i="7"/>
  <c r="I67" i="7" s="1"/>
  <c r="J67" i="7" s="1"/>
  <c r="K67" i="7" s="1"/>
  <c r="L67" i="7" s="1"/>
  <c r="M67" i="7" s="1"/>
  <c r="N67" i="7" s="1"/>
  <c r="H66" i="7"/>
  <c r="I66" i="7"/>
  <c r="J66" i="7" s="1"/>
  <c r="K66" i="7" s="1"/>
  <c r="L66" i="7" s="1"/>
  <c r="M66" i="7" s="1"/>
  <c r="N66" i="7" s="1"/>
  <c r="H73" i="7"/>
  <c r="I73" i="7" s="1"/>
  <c r="J73" i="7" s="1"/>
  <c r="K73" i="7" s="1"/>
  <c r="L73" i="7" s="1"/>
  <c r="M73" i="7" s="1"/>
  <c r="N73" i="7" s="1"/>
  <c r="H72" i="7"/>
  <c r="H71" i="7"/>
  <c r="I72" i="7"/>
  <c r="J72" i="7"/>
  <c r="K72" i="7" s="1"/>
  <c r="L72" i="7" s="1"/>
  <c r="M72" i="7" s="1"/>
  <c r="N72" i="7" s="1"/>
  <c r="I71" i="7"/>
  <c r="J71" i="7" s="1"/>
  <c r="K71" i="7" s="1"/>
  <c r="L71" i="7" s="1"/>
  <c r="M71" i="7" s="1"/>
  <c r="N71" i="7" s="1"/>
  <c r="A73" i="7"/>
  <c r="O73" i="7" s="1"/>
  <c r="A71" i="7"/>
  <c r="O71" i="7" s="1"/>
  <c r="A69" i="7"/>
  <c r="O69" i="7" s="1"/>
  <c r="O70" i="7"/>
  <c r="A68" i="7"/>
  <c r="O68" i="7" s="1"/>
  <c r="A67" i="7"/>
  <c r="O67" i="7"/>
  <c r="A66" i="7"/>
  <c r="O66" i="7" s="1"/>
  <c r="O240" i="7"/>
  <c r="O253" i="7"/>
  <c r="O251" i="7"/>
  <c r="O250" i="7"/>
  <c r="A248" i="7"/>
  <c r="O248" i="7"/>
  <c r="A247" i="7"/>
  <c r="O247" i="7" s="1"/>
  <c r="A246" i="7"/>
  <c r="O246" i="7" s="1"/>
  <c r="A245" i="7"/>
  <c r="O245" i="7" s="1"/>
  <c r="O244" i="7"/>
  <c r="O242" i="7"/>
  <c r="O241" i="7"/>
  <c r="O239" i="7"/>
  <c r="O238" i="7"/>
  <c r="G228" i="7"/>
  <c r="G226" i="7"/>
  <c r="G106" i="7"/>
  <c r="O230" i="7"/>
  <c r="O229" i="7"/>
  <c r="O228" i="7"/>
  <c r="O227" i="7"/>
  <c r="O226" i="7"/>
  <c r="O236" i="7"/>
  <c r="O132" i="7"/>
  <c r="O131" i="7"/>
  <c r="O130" i="7"/>
  <c r="O129" i="7"/>
  <c r="O128" i="7"/>
  <c r="O141" i="7"/>
  <c r="O140" i="7"/>
  <c r="O139" i="7"/>
  <c r="O138" i="7"/>
  <c r="O137" i="7"/>
  <c r="O124" i="7"/>
  <c r="O123" i="7"/>
  <c r="O122" i="7"/>
  <c r="O121" i="7"/>
  <c r="O120" i="7"/>
  <c r="O110" i="7"/>
  <c r="O109" i="7"/>
  <c r="O108" i="7"/>
  <c r="O107" i="7"/>
  <c r="O106" i="7"/>
  <c r="M264" i="7"/>
  <c r="M168" i="7"/>
  <c r="M92" i="7"/>
  <c r="M305" i="7"/>
  <c r="M18" i="7"/>
  <c r="O86" i="7"/>
  <c r="A86" i="7"/>
  <c r="A3" i="7"/>
  <c r="F40" i="7"/>
  <c r="G40" i="7"/>
  <c r="H40" i="7" s="1"/>
  <c r="I40" i="7" s="1"/>
  <c r="J40" i="7" s="1"/>
  <c r="K40" i="7" s="1"/>
  <c r="L40" i="7" s="1"/>
  <c r="M40" i="7" s="1"/>
  <c r="N40" i="7" s="1"/>
  <c r="G41" i="7"/>
  <c r="H41" i="7" s="1"/>
  <c r="I41" i="7" s="1"/>
  <c r="J41" i="7" s="1"/>
  <c r="K41" i="7" s="1"/>
  <c r="L41" i="7" s="1"/>
  <c r="M41" i="7" s="1"/>
  <c r="N41" i="7" s="1"/>
  <c r="E40" i="7"/>
  <c r="E41" i="7"/>
  <c r="B124" i="7"/>
  <c r="B123" i="7"/>
  <c r="B122" i="7"/>
  <c r="B121" i="7"/>
  <c r="B141" i="7"/>
  <c r="B140" i="7"/>
  <c r="B139" i="7"/>
  <c r="B138" i="7"/>
  <c r="B110" i="7"/>
  <c r="B109" i="7"/>
  <c r="B108" i="7"/>
  <c r="B107" i="7"/>
  <c r="B132" i="7"/>
  <c r="B131" i="7"/>
  <c r="B130" i="7"/>
  <c r="B129" i="7"/>
  <c r="A288" i="7"/>
  <c r="O288" i="7" s="1"/>
  <c r="A287" i="7"/>
  <c r="O287" i="7" s="1"/>
  <c r="I13" i="7"/>
  <c r="J13" i="7"/>
  <c r="M13" i="7"/>
  <c r="N13" i="7"/>
  <c r="L13" i="7"/>
  <c r="K13" i="7"/>
  <c r="H13" i="7"/>
  <c r="J12" i="7"/>
  <c r="I12" i="7"/>
  <c r="N12" i="7"/>
  <c r="M12" i="7"/>
  <c r="L12" i="7"/>
  <c r="K12" i="7"/>
  <c r="H12" i="7"/>
  <c r="J17" i="7"/>
  <c r="H10" i="7"/>
  <c r="I10" i="7"/>
  <c r="N10" i="7"/>
  <c r="M10" i="7"/>
  <c r="L10" i="7"/>
  <c r="K10" i="7"/>
  <c r="J10" i="7"/>
  <c r="H17" i="7"/>
  <c r="I17" i="7"/>
  <c r="K17" i="7"/>
  <c r="L17" i="7"/>
  <c r="M17" i="7"/>
  <c r="N17" i="7"/>
  <c r="I14" i="7"/>
  <c r="J14" i="7"/>
  <c r="N14" i="7"/>
  <c r="M14" i="7"/>
  <c r="L14" i="7"/>
  <c r="K14" i="7"/>
  <c r="H14" i="7"/>
  <c r="M297" i="7"/>
  <c r="E37" i="7"/>
  <c r="G37" i="7"/>
  <c r="F37" i="7"/>
  <c r="F70" i="7"/>
  <c r="G70" i="7"/>
  <c r="G236" i="7"/>
  <c r="E70" i="7"/>
  <c r="E120" i="7"/>
  <c r="G128" i="7"/>
  <c r="F128" i="7"/>
  <c r="G120" i="7"/>
  <c r="G137" i="7"/>
  <c r="F120" i="7"/>
  <c r="F137" i="7"/>
  <c r="E128" i="7"/>
  <c r="E137" i="7"/>
  <c r="G229" i="7"/>
  <c r="E38" i="7"/>
  <c r="F21" i="3"/>
  <c r="E21" i="3"/>
  <c r="E33" i="3"/>
  <c r="D33" i="3"/>
  <c r="A2" i="3"/>
  <c r="E1" i="3"/>
  <c r="A3" i="3"/>
  <c r="F33" i="3"/>
  <c r="F3" i="3"/>
  <c r="D3" i="3"/>
  <c r="G33" i="3"/>
  <c r="G7" i="3"/>
  <c r="G5" i="3"/>
  <c r="G14" i="3" s="1"/>
  <c r="E34" i="3"/>
  <c r="D7" i="3"/>
  <c r="D5" i="3"/>
  <c r="D125" i="2"/>
  <c r="D126" i="2"/>
  <c r="D130" i="2"/>
  <c r="D134" i="2"/>
  <c r="D142" i="2"/>
  <c r="D143" i="2"/>
  <c r="D144" i="2"/>
  <c r="D158" i="2"/>
  <c r="D145" i="2" s="1"/>
  <c r="D149" i="2"/>
  <c r="D151" i="2"/>
  <c r="D156" i="2"/>
  <c r="D161" i="2"/>
  <c r="D166" i="2"/>
  <c r="D181" i="2"/>
  <c r="D83" i="2"/>
  <c r="D65" i="2"/>
  <c r="D194" i="2"/>
  <c r="H197" i="2"/>
  <c r="H194" i="2"/>
  <c r="F194" i="2"/>
  <c r="E194" i="2"/>
  <c r="Q119" i="2"/>
  <c r="P119" i="2"/>
  <c r="O119" i="2"/>
  <c r="D197" i="2" l="1"/>
  <c r="J17" i="4"/>
  <c r="D64" i="4"/>
  <c r="J58" i="4" s="1"/>
  <c r="A7" i="4"/>
  <c r="G11" i="4"/>
  <c r="G30" i="7" s="1"/>
  <c r="G102" i="2"/>
  <c r="L27" i="4" s="1"/>
  <c r="E157" i="7"/>
  <c r="E64" i="6" s="1"/>
  <c r="B3" i="13"/>
  <c r="E35" i="7"/>
  <c r="G197" i="2"/>
  <c r="J5" i="4"/>
  <c r="G150" i="7"/>
  <c r="G48" i="6" s="1"/>
  <c r="E15" i="4"/>
  <c r="E33" i="7" s="1"/>
  <c r="D15" i="4"/>
  <c r="B105" i="7"/>
  <c r="D6" i="3"/>
  <c r="G39" i="4"/>
  <c r="G77" i="4" s="1"/>
  <c r="G3" i="3"/>
  <c r="G15" i="4"/>
  <c r="G33" i="7" s="1"/>
  <c r="C6" i="4"/>
  <c r="D87" i="4" s="1"/>
  <c r="I7" i="4"/>
  <c r="G46" i="4"/>
  <c r="G51" i="4" s="1"/>
  <c r="G11" i="12"/>
  <c r="G11" i="7"/>
  <c r="G16" i="12"/>
  <c r="G206" i="7"/>
  <c r="K74" i="4"/>
  <c r="C15" i="4"/>
  <c r="M5" i="4"/>
  <c r="M39" i="4"/>
  <c r="M77" i="4" s="1"/>
  <c r="D57" i="3"/>
  <c r="E198" i="2"/>
  <c r="F34" i="3"/>
  <c r="G34" i="3"/>
  <c r="D54" i="3"/>
  <c r="C11" i="4"/>
  <c r="E91" i="4"/>
  <c r="M51" i="4"/>
  <c r="G213" i="7" s="1"/>
  <c r="G27" i="7"/>
  <c r="G21" i="3"/>
  <c r="A23" i="7"/>
  <c r="G30" i="6"/>
  <c r="F91" i="4"/>
  <c r="F197" i="2"/>
  <c r="D133" i="2"/>
  <c r="G201" i="7"/>
  <c r="F22" i="7"/>
  <c r="K5" i="4"/>
  <c r="J51" i="4"/>
  <c r="G56" i="7"/>
  <c r="H56" i="7" s="1"/>
  <c r="F230" i="7"/>
  <c r="D206" i="2"/>
  <c r="E7" i="3"/>
  <c r="E3" i="3"/>
  <c r="G101" i="7"/>
  <c r="G230" i="7"/>
  <c r="B225" i="7" s="1"/>
  <c r="E39" i="4"/>
  <c r="E77" i="4" s="1"/>
  <c r="M64" i="4"/>
  <c r="G224" i="7" s="1"/>
  <c r="G58" i="6" s="1"/>
  <c r="K50" i="4"/>
  <c r="E212" i="7" s="1"/>
  <c r="E5" i="3"/>
  <c r="E12" i="3" s="1"/>
  <c r="G53" i="7"/>
  <c r="G13" i="3"/>
  <c r="D34" i="3"/>
  <c r="G268" i="7"/>
  <c r="F41" i="7"/>
  <c r="A36" i="7" s="1"/>
  <c r="D198" i="2"/>
  <c r="K39" i="4"/>
  <c r="K77" i="4" s="1"/>
  <c r="K64" i="4"/>
  <c r="E224" i="7" s="1"/>
  <c r="E58" i="6" s="1"/>
  <c r="J74" i="4"/>
  <c r="L51" i="4"/>
  <c r="F213" i="7" s="1"/>
  <c r="F15" i="4"/>
  <c r="F33" i="7" s="1"/>
  <c r="L64" i="4"/>
  <c r="F224" i="7" s="1"/>
  <c r="F58" i="6" s="1"/>
  <c r="L50" i="4"/>
  <c r="F212" i="7" s="1"/>
  <c r="F41" i="4"/>
  <c r="F104" i="7" s="1"/>
  <c r="F34" i="6" s="1"/>
  <c r="J95" i="4"/>
  <c r="E64" i="4"/>
  <c r="K58" i="4" s="1"/>
  <c r="E220" i="7" s="1"/>
  <c r="G158" i="2"/>
  <c r="F64" i="4" s="1"/>
  <c r="G47" i="7"/>
  <c r="G70" i="6" s="1"/>
  <c r="F5" i="3"/>
  <c r="F13" i="3" s="1"/>
  <c r="F7" i="3"/>
  <c r="G89" i="4"/>
  <c r="M43" i="4"/>
  <c r="G113" i="7" s="1"/>
  <c r="E199" i="2"/>
  <c r="G211" i="2"/>
  <c r="G157" i="7"/>
  <c r="G64" i="6" s="1"/>
  <c r="F157" i="7"/>
  <c r="F64" i="6" s="1"/>
  <c r="E163" i="7"/>
  <c r="K44" i="4"/>
  <c r="G44" i="7"/>
  <c r="L73" i="4"/>
  <c r="F47" i="7"/>
  <c r="F70" i="6" s="1"/>
  <c r="L74" i="4"/>
  <c r="D27" i="3"/>
  <c r="D29" i="3"/>
  <c r="D28" i="3"/>
  <c r="F27" i="7"/>
  <c r="F268" i="7"/>
  <c r="F53" i="7"/>
  <c r="F11" i="7"/>
  <c r="F201" i="7"/>
  <c r="F101" i="7"/>
  <c r="F30" i="6"/>
  <c r="D12" i="3"/>
  <c r="M74" i="4"/>
  <c r="M73" i="4"/>
  <c r="F6" i="4"/>
  <c r="L95" i="4" s="1"/>
  <c r="K49" i="4"/>
  <c r="E211" i="7" s="1"/>
  <c r="D118" i="2"/>
  <c r="D119" i="2" s="1"/>
  <c r="D56" i="3"/>
  <c r="F11" i="4"/>
  <c r="F30" i="7" s="1"/>
  <c r="H6" i="4"/>
  <c r="D23" i="3"/>
  <c r="G12" i="3"/>
  <c r="D55" i="3"/>
  <c r="F39" i="4"/>
  <c r="F77" i="4" s="1"/>
  <c r="L49" i="4"/>
  <c r="F211" i="7" s="1"/>
  <c r="G6" i="4"/>
  <c r="G54" i="3" s="1"/>
  <c r="H15" i="4"/>
  <c r="D208" i="2"/>
  <c r="M44" i="4"/>
  <c r="E112" i="7"/>
  <c r="J73" i="4"/>
  <c r="J75" i="4" s="1"/>
  <c r="J43" i="4"/>
  <c r="D36" i="4"/>
  <c r="D37" i="4" s="1"/>
  <c r="D58" i="3" s="1"/>
  <c r="H11" i="4"/>
  <c r="J94" i="4"/>
  <c r="F133" i="2"/>
  <c r="M67" i="4"/>
  <c r="G255" i="7" s="1"/>
  <c r="T244" i="7"/>
  <c r="F163" i="7"/>
  <c r="L44" i="4"/>
  <c r="E27" i="7"/>
  <c r="E11" i="7"/>
  <c r="S27" i="7"/>
  <c r="E53" i="7"/>
  <c r="E268" i="7"/>
  <c r="E201" i="7"/>
  <c r="E101" i="7"/>
  <c r="E30" i="6"/>
  <c r="E11" i="12"/>
  <c r="K51" i="4"/>
  <c r="E213" i="7" s="1"/>
  <c r="E77" i="7"/>
  <c r="E75" i="7" s="1"/>
  <c r="D46" i="3"/>
  <c r="D31" i="3"/>
  <c r="D32" i="3" s="1"/>
  <c r="D92" i="4"/>
  <c r="E151" i="7"/>
  <c r="G78" i="7"/>
  <c r="M52" i="4"/>
  <c r="G214" i="7" s="1"/>
  <c r="D21" i="4"/>
  <c r="E208" i="2" s="1"/>
  <c r="E10" i="4"/>
  <c r="E197" i="2"/>
  <c r="D10" i="4"/>
  <c r="D52" i="3" s="1"/>
  <c r="A5" i="3"/>
  <c r="A32" i="3"/>
  <c r="A31" i="3"/>
  <c r="J77" i="4"/>
  <c r="P72" i="4"/>
  <c r="L52" i="4"/>
  <c r="F214" i="7" s="1"/>
  <c r="F78" i="7"/>
  <c r="E47" i="7"/>
  <c r="E70" i="6" s="1"/>
  <c r="K73" i="4"/>
  <c r="E261" i="7" s="1"/>
  <c r="M17" i="4"/>
  <c r="G92" i="4" s="1"/>
  <c r="D199" i="2"/>
  <c r="J67" i="4"/>
  <c r="J93" i="4"/>
  <c r="D39" i="4"/>
  <c r="D77" i="4" s="1"/>
  <c r="P1" i="4"/>
  <c r="E6" i="4"/>
  <c r="N67" i="4"/>
  <c r="G149" i="7"/>
  <c r="E133" i="2"/>
  <c r="D9" i="3" s="1"/>
  <c r="F198" i="2"/>
  <c r="H39" i="4"/>
  <c r="H77" i="4" s="1"/>
  <c r="M8" i="4"/>
  <c r="N43" i="4"/>
  <c r="G91" i="4"/>
  <c r="E140" i="2"/>
  <c r="F10" i="4"/>
  <c r="G133" i="2"/>
  <c r="L43" i="4"/>
  <c r="F113" i="7" s="1"/>
  <c r="O24" i="7"/>
  <c r="E115" i="7"/>
  <c r="N5" i="4"/>
  <c r="N39" i="4"/>
  <c r="N77" i="4" s="1"/>
  <c r="Q120" i="2"/>
  <c r="D207" i="2"/>
  <c r="C18" i="4"/>
  <c r="H26" i="7"/>
  <c r="R120" i="2"/>
  <c r="J66" i="4"/>
  <c r="J23" i="4"/>
  <c r="N17" i="4"/>
  <c r="G21" i="4"/>
  <c r="H208" i="2" s="1"/>
  <c r="G23" i="3"/>
  <c r="D13" i="3"/>
  <c r="G90" i="7"/>
  <c r="K17" i="4"/>
  <c r="G71" i="2"/>
  <c r="L11" i="4" s="1"/>
  <c r="G140" i="2"/>
  <c r="F54" i="4" s="1"/>
  <c r="G210" i="2"/>
  <c r="H44" i="4"/>
  <c r="H46" i="4" s="1"/>
  <c r="H51" i="4" s="1"/>
  <c r="H133" i="2"/>
  <c r="H148" i="2" s="1"/>
  <c r="H155" i="2" s="1"/>
  <c r="K100" i="4"/>
  <c r="G126" i="7"/>
  <c r="I198" i="2"/>
  <c r="H199" i="2"/>
  <c r="T238" i="7"/>
  <c r="T250" i="7"/>
  <c r="T226" i="7"/>
  <c r="A42" i="7" s="1"/>
  <c r="D140" i="2"/>
  <c r="D148" i="2" s="1"/>
  <c r="C21" i="4"/>
  <c r="D89" i="4"/>
  <c r="R72" i="4"/>
  <c r="J100" i="4"/>
  <c r="D91" i="4"/>
  <c r="F46" i="4"/>
  <c r="F51" i="4" s="1"/>
  <c r="D46" i="4"/>
  <c r="D51" i="4" s="1"/>
  <c r="J52" i="4"/>
  <c r="C10" i="4"/>
  <c r="B3" i="12"/>
  <c r="B20" i="7"/>
  <c r="M23" i="4"/>
  <c r="G36" i="4"/>
  <c r="G76" i="7"/>
  <c r="L10" i="4"/>
  <c r="N51" i="4"/>
  <c r="F11" i="12"/>
  <c r="T27" i="7"/>
  <c r="L23" i="4"/>
  <c r="H30" i="7"/>
  <c r="I30" i="7" s="1"/>
  <c r="J30" i="7" s="1"/>
  <c r="K30" i="7" s="1"/>
  <c r="L30" i="7" s="1"/>
  <c r="M30" i="7" s="1"/>
  <c r="N30" i="7" s="1"/>
  <c r="F140" i="2"/>
  <c r="E54" i="4" s="1"/>
  <c r="F23" i="4"/>
  <c r="G199" i="2"/>
  <c r="I133" i="2"/>
  <c r="I148" i="2" s="1"/>
  <c r="I155" i="2" s="1"/>
  <c r="I165" i="2" s="1"/>
  <c r="I183" i="2" s="1"/>
  <c r="N23" i="4"/>
  <c r="K23" i="4"/>
  <c r="K52" i="4"/>
  <c r="F18" i="4"/>
  <c r="P120" i="2"/>
  <c r="H26" i="4"/>
  <c r="H36" i="4" s="1"/>
  <c r="N52" i="4"/>
  <c r="I199" i="2"/>
  <c r="R122" i="2"/>
  <c r="G10" i="4"/>
  <c r="H69" i="4"/>
  <c r="K224" i="7"/>
  <c r="K10" i="4"/>
  <c r="O122" i="2"/>
  <c r="E11" i="4"/>
  <c r="E30" i="7" s="1"/>
  <c r="O120" i="2"/>
  <c r="E23" i="4"/>
  <c r="F199" i="2"/>
  <c r="G198" i="2"/>
  <c r="L224" i="7"/>
  <c r="J224" i="7"/>
  <c r="D11" i="4"/>
  <c r="L17" i="4"/>
  <c r="N74" i="4"/>
  <c r="N73" i="4"/>
  <c r="N8" i="4"/>
  <c r="H10" i="4"/>
  <c r="J10" i="4"/>
  <c r="J8" i="4" s="1"/>
  <c r="Q122" i="2"/>
  <c r="H233" i="7"/>
  <c r="E41" i="4"/>
  <c r="F17" i="4"/>
  <c r="I197" i="2"/>
  <c r="G18" i="4"/>
  <c r="G35" i="7" s="1"/>
  <c r="H35" i="7" s="1"/>
  <c r="I35" i="7" s="1"/>
  <c r="H89" i="4"/>
  <c r="N66" i="4" l="1"/>
  <c r="H92" i="4"/>
  <c r="H93" i="4" s="1"/>
  <c r="H94" i="4" s="1"/>
  <c r="N89" i="4" s="1"/>
  <c r="E148" i="2"/>
  <c r="G112" i="7"/>
  <c r="E13" i="3"/>
  <c r="E55" i="3"/>
  <c r="F89" i="4"/>
  <c r="Q72" i="4"/>
  <c r="E9" i="3"/>
  <c r="D210" i="2"/>
  <c r="D212" i="2" s="1"/>
  <c r="E150" i="7"/>
  <c r="E48" i="6" s="1"/>
  <c r="E202" i="2"/>
  <c r="J31" i="4"/>
  <c r="E23" i="3"/>
  <c r="C14" i="4"/>
  <c r="G55" i="7"/>
  <c r="H118" i="2"/>
  <c r="H119" i="2" s="1"/>
  <c r="E201" i="2"/>
  <c r="S72" i="4"/>
  <c r="D14" i="4"/>
  <c r="D93" i="4"/>
  <c r="D94" i="4" s="1"/>
  <c r="J89" i="4" s="1"/>
  <c r="K43" i="4"/>
  <c r="J48" i="4"/>
  <c r="G43" i="7"/>
  <c r="H14" i="4"/>
  <c r="F210" i="7"/>
  <c r="F15" i="12" s="1"/>
  <c r="N95" i="4"/>
  <c r="N93" i="4"/>
  <c r="G98" i="7"/>
  <c r="G97" i="7"/>
  <c r="D211" i="2"/>
  <c r="L94" i="4"/>
  <c r="L48" i="4"/>
  <c r="H21" i="4"/>
  <c r="I208" i="2" s="1"/>
  <c r="G210" i="7"/>
  <c r="G15" i="12" s="1"/>
  <c r="F9" i="3"/>
  <c r="F54" i="3"/>
  <c r="F23" i="3"/>
  <c r="F12" i="3"/>
  <c r="F56" i="3"/>
  <c r="G93" i="4"/>
  <c r="G94" i="4" s="1"/>
  <c r="F55" i="3"/>
  <c r="L58" i="4"/>
  <c r="F220" i="7" s="1"/>
  <c r="F150" i="7"/>
  <c r="F284" i="7" s="1"/>
  <c r="F148" i="2"/>
  <c r="E10" i="3" s="1"/>
  <c r="M48" i="4"/>
  <c r="F51" i="6"/>
  <c r="B244" i="7"/>
  <c r="M87" i="4"/>
  <c r="N48" i="4"/>
  <c r="L75" i="4"/>
  <c r="F261" i="7"/>
  <c r="F262" i="7" s="1"/>
  <c r="M94" i="4"/>
  <c r="G56" i="3"/>
  <c r="M93" i="4"/>
  <c r="E14" i="3"/>
  <c r="G29" i="3"/>
  <c r="G27" i="3"/>
  <c r="M95" i="4"/>
  <c r="G6" i="3"/>
  <c r="G57" i="3"/>
  <c r="G55" i="3"/>
  <c r="G28" i="3"/>
  <c r="I118" i="2"/>
  <c r="I119" i="2" s="1"/>
  <c r="G56" i="4"/>
  <c r="G83" i="4"/>
  <c r="H37" i="4"/>
  <c r="N94" i="4"/>
  <c r="E16" i="12"/>
  <c r="E206" i="7"/>
  <c r="C8" i="4"/>
  <c r="C31" i="4" s="1"/>
  <c r="M75" i="4"/>
  <c r="G261" i="7"/>
  <c r="G262" i="7" s="1"/>
  <c r="E118" i="2"/>
  <c r="E119" i="2" s="1"/>
  <c r="G87" i="4"/>
  <c r="F28" i="3"/>
  <c r="F27" i="3"/>
  <c r="F6" i="3"/>
  <c r="F57" i="3"/>
  <c r="F29" i="3"/>
  <c r="B238" i="7"/>
  <c r="B64" i="7"/>
  <c r="M69" i="4"/>
  <c r="G257" i="7" s="1"/>
  <c r="G57" i="6" s="1"/>
  <c r="E28" i="3"/>
  <c r="E29" i="3"/>
  <c r="E6" i="3"/>
  <c r="E57" i="3"/>
  <c r="E27" i="3"/>
  <c r="M66" i="4"/>
  <c r="G233" i="7" s="1"/>
  <c r="G45" i="6" s="1"/>
  <c r="G46" i="3"/>
  <c r="G31" i="3"/>
  <c r="G40" i="3" s="1"/>
  <c r="G62" i="7"/>
  <c r="G287" i="7" s="1"/>
  <c r="G288" i="7" s="1"/>
  <c r="F14" i="7"/>
  <c r="F53" i="6" s="1"/>
  <c r="F54" i="6"/>
  <c r="P122" i="2"/>
  <c r="G118" i="2" s="1"/>
  <c r="G119" i="2" s="1"/>
  <c r="F126" i="7"/>
  <c r="F131" i="7"/>
  <c r="G148" i="2"/>
  <c r="F10" i="3" s="1"/>
  <c r="E62" i="7"/>
  <c r="E287" i="7" s="1"/>
  <c r="E288" i="7" s="1"/>
  <c r="E46" i="3"/>
  <c r="K66" i="4"/>
  <c r="E233" i="7" s="1"/>
  <c r="E45" i="6" s="1"/>
  <c r="E31" i="3"/>
  <c r="E32" i="3" s="1"/>
  <c r="E92" i="4"/>
  <c r="E93" i="4" s="1"/>
  <c r="E94" i="4" s="1"/>
  <c r="K67" i="4"/>
  <c r="E255" i="7" s="1"/>
  <c r="I26" i="7"/>
  <c r="H30" i="6"/>
  <c r="H201" i="7"/>
  <c r="H27" i="7"/>
  <c r="H11" i="12"/>
  <c r="H101" i="7"/>
  <c r="H268" i="7"/>
  <c r="H1" i="7"/>
  <c r="H53" i="7"/>
  <c r="R27" i="7"/>
  <c r="G24" i="7"/>
  <c r="D14" i="3"/>
  <c r="D54" i="4"/>
  <c r="D56" i="4" s="1"/>
  <c r="K75" i="4"/>
  <c r="K95" i="4"/>
  <c r="F14" i="4"/>
  <c r="F8" i="4" s="1"/>
  <c r="F29" i="7"/>
  <c r="F52" i="3"/>
  <c r="H202" i="2"/>
  <c r="H201" i="2"/>
  <c r="F14" i="3"/>
  <c r="G205" i="7"/>
  <c r="G280" i="7"/>
  <c r="G9" i="3"/>
  <c r="F118" i="2"/>
  <c r="F119" i="2" s="1"/>
  <c r="F112" i="7"/>
  <c r="F118" i="7" s="1"/>
  <c r="F119" i="7" s="1"/>
  <c r="G47" i="6"/>
  <c r="H90" i="7"/>
  <c r="I90" i="7" s="1"/>
  <c r="J90" i="7" s="1"/>
  <c r="K90" i="7" s="1"/>
  <c r="L90" i="7" s="1"/>
  <c r="M90" i="7" s="1"/>
  <c r="N90" i="7" s="1"/>
  <c r="D49" i="3"/>
  <c r="D48" i="3"/>
  <c r="F52" i="6"/>
  <c r="D202" i="2"/>
  <c r="D201" i="2"/>
  <c r="F55" i="6"/>
  <c r="F75" i="7"/>
  <c r="N31" i="4"/>
  <c r="N7" i="4" s="1"/>
  <c r="E56" i="3"/>
  <c r="G24" i="3"/>
  <c r="G10" i="3"/>
  <c r="E54" i="3"/>
  <c r="F69" i="6"/>
  <c r="E29" i="7"/>
  <c r="E32" i="7" s="1"/>
  <c r="E28" i="7" s="1"/>
  <c r="E52" i="3"/>
  <c r="F13" i="7"/>
  <c r="F16" i="12"/>
  <c r="F206" i="7"/>
  <c r="A231" i="7"/>
  <c r="B63" i="7"/>
  <c r="E206" i="2"/>
  <c r="L8" i="4"/>
  <c r="F56" i="7"/>
  <c r="F55" i="7" s="1"/>
  <c r="D155" i="2"/>
  <c r="D165" i="2" s="1"/>
  <c r="D183" i="2" s="1"/>
  <c r="E104" i="7"/>
  <c r="E89" i="4"/>
  <c r="K94" i="4"/>
  <c r="K93" i="4"/>
  <c r="E46" i="4"/>
  <c r="E51" i="4" s="1"/>
  <c r="E56" i="4" s="1"/>
  <c r="F87" i="4"/>
  <c r="G118" i="7"/>
  <c r="H165" i="2"/>
  <c r="H183" i="2" s="1"/>
  <c r="G11" i="3"/>
  <c r="I185" i="2"/>
  <c r="I184" i="2"/>
  <c r="L67" i="4"/>
  <c r="F255" i="7" s="1"/>
  <c r="F62" i="7"/>
  <c r="L66" i="4"/>
  <c r="F233" i="7" s="1"/>
  <c r="F45" i="6" s="1"/>
  <c r="F92" i="4"/>
  <c r="F93" i="4" s="1"/>
  <c r="F94" i="4" s="1"/>
  <c r="F31" i="3"/>
  <c r="F32" i="3" s="1"/>
  <c r="F46" i="3"/>
  <c r="G202" i="2"/>
  <c r="G201" i="2"/>
  <c r="N75" i="4"/>
  <c r="H56" i="4"/>
  <c r="H83" i="4"/>
  <c r="K8" i="4"/>
  <c r="K31" i="4" s="1"/>
  <c r="E56" i="7"/>
  <c r="E55" i="7" s="1"/>
  <c r="G14" i="4"/>
  <c r="G29" i="7"/>
  <c r="G52" i="3"/>
  <c r="F21" i="4"/>
  <c r="F36" i="4"/>
  <c r="F44" i="7"/>
  <c r="L93" i="4"/>
  <c r="G85" i="7"/>
  <c r="G86" i="7" s="1"/>
  <c r="G301" i="7" s="1"/>
  <c r="G37" i="4"/>
  <c r="G58" i="3" s="1"/>
  <c r="D83" i="4"/>
  <c r="J35" i="7"/>
  <c r="K35" i="7" s="1"/>
  <c r="L35" i="7" s="1"/>
  <c r="M35" i="7" s="1"/>
  <c r="N35" i="7" s="1"/>
  <c r="E214" i="7"/>
  <c r="E210" i="7" s="1"/>
  <c r="E15" i="12" s="1"/>
  <c r="K48" i="4"/>
  <c r="G54" i="6"/>
  <c r="G75" i="7"/>
  <c r="J7" i="4"/>
  <c r="J69" i="4"/>
  <c r="J87" i="4"/>
  <c r="D38" i="3"/>
  <c r="D40" i="3"/>
  <c r="D37" i="3"/>
  <c r="D39" i="3"/>
  <c r="D36" i="3"/>
  <c r="E155" i="2"/>
  <c r="D24" i="3"/>
  <c r="D10" i="3"/>
  <c r="E14" i="4"/>
  <c r="E126" i="7"/>
  <c r="E131" i="7"/>
  <c r="M31" i="4"/>
  <c r="M7" i="4" s="1"/>
  <c r="G49" i="3"/>
  <c r="G48" i="3"/>
  <c r="E87" i="4"/>
  <c r="E21" i="4"/>
  <c r="E49" i="3" s="1"/>
  <c r="E44" i="7"/>
  <c r="E43" i="7" s="1"/>
  <c r="E36" i="4"/>
  <c r="E85" i="7" s="1"/>
  <c r="F35" i="7"/>
  <c r="F38" i="7"/>
  <c r="N88" i="4"/>
  <c r="N69" i="4"/>
  <c r="N87" i="4"/>
  <c r="F202" i="2"/>
  <c r="F201" i="2"/>
  <c r="I202" i="2"/>
  <c r="I201" i="2"/>
  <c r="H104" i="7"/>
  <c r="A31" i="6"/>
  <c r="G69" i="6"/>
  <c r="G52" i="6"/>
  <c r="G105" i="7"/>
  <c r="G33" i="6" s="1"/>
  <c r="G285" i="7"/>
  <c r="G51" i="6"/>
  <c r="G14" i="7"/>
  <c r="G53" i="6" s="1"/>
  <c r="G55" i="6"/>
  <c r="G12" i="7"/>
  <c r="G50" i="6" s="1"/>
  <c r="G284" i="7"/>
  <c r="G13" i="7"/>
  <c r="B4" i="12"/>
  <c r="B25" i="6"/>
  <c r="B4" i="13"/>
  <c r="F83" i="4"/>
  <c r="F56" i="4"/>
  <c r="E24" i="3" l="1"/>
  <c r="H8" i="4"/>
  <c r="H35" i="4" s="1"/>
  <c r="I206" i="2"/>
  <c r="J56" i="4"/>
  <c r="D51" i="3" s="1"/>
  <c r="D8" i="4"/>
  <c r="G44" i="3"/>
  <c r="G291" i="7"/>
  <c r="E47" i="6"/>
  <c r="E205" i="7"/>
  <c r="A262" i="7"/>
  <c r="J88" i="4"/>
  <c r="F285" i="7"/>
  <c r="F135" i="7"/>
  <c r="F127" i="7" s="1"/>
  <c r="F155" i="2"/>
  <c r="F165" i="2" s="1"/>
  <c r="F183" i="2" s="1"/>
  <c r="F44" i="3"/>
  <c r="G155" i="2"/>
  <c r="G165" i="2" s="1"/>
  <c r="G183" i="2" s="1"/>
  <c r="F24" i="3"/>
  <c r="E49" i="7"/>
  <c r="E276" i="7" s="1"/>
  <c r="M88" i="4"/>
  <c r="F48" i="6"/>
  <c r="F47" i="6"/>
  <c r="F205" i="7"/>
  <c r="F280" i="7"/>
  <c r="M90" i="4"/>
  <c r="G290" i="7"/>
  <c r="E37" i="6"/>
  <c r="M81" i="4"/>
  <c r="G61" i="4"/>
  <c r="M79" i="4"/>
  <c r="M41" i="4"/>
  <c r="M46" i="4" s="1"/>
  <c r="M54" i="4" s="1"/>
  <c r="M83" i="4" s="1"/>
  <c r="M80" i="4"/>
  <c r="G84" i="4"/>
  <c r="G82" i="7"/>
  <c r="J80" i="4"/>
  <c r="D43" i="3"/>
  <c r="D44" i="3"/>
  <c r="J41" i="4"/>
  <c r="J46" i="4" s="1"/>
  <c r="J54" i="4" s="1"/>
  <c r="D45" i="3" s="1"/>
  <c r="D61" i="4"/>
  <c r="D67" i="4" s="1"/>
  <c r="D73" i="4" s="1"/>
  <c r="J79" i="4"/>
  <c r="D84" i="4"/>
  <c r="J90" i="4"/>
  <c r="J81" i="4"/>
  <c r="J91" i="4"/>
  <c r="D42" i="3"/>
  <c r="F32" i="7"/>
  <c r="F28" i="7" s="1"/>
  <c r="F37" i="6"/>
  <c r="E284" i="7"/>
  <c r="E285" i="7"/>
  <c r="I11" i="12"/>
  <c r="I30" i="6"/>
  <c r="I201" i="7"/>
  <c r="I27" i="7"/>
  <c r="I101" i="7"/>
  <c r="I1" i="7"/>
  <c r="I53" i="7"/>
  <c r="I268" i="7"/>
  <c r="J26" i="7"/>
  <c r="F31" i="4"/>
  <c r="F19" i="3" s="1"/>
  <c r="G32" i="3"/>
  <c r="G42" i="3"/>
  <c r="G38" i="3"/>
  <c r="F49" i="3"/>
  <c r="E105" i="7"/>
  <c r="E33" i="6" s="1"/>
  <c r="H62" i="7"/>
  <c r="I62" i="7" s="1"/>
  <c r="J62" i="7" s="1"/>
  <c r="G36" i="3"/>
  <c r="F48" i="3"/>
  <c r="E14" i="7"/>
  <c r="E53" i="6" s="1"/>
  <c r="E48" i="3"/>
  <c r="G8" i="4"/>
  <c r="M56" i="4"/>
  <c r="H206" i="2"/>
  <c r="K91" i="4"/>
  <c r="E61" i="4"/>
  <c r="K81" i="4"/>
  <c r="K41" i="4"/>
  <c r="K46" i="4" s="1"/>
  <c r="K54" i="4" s="1"/>
  <c r="K90" i="4"/>
  <c r="K79" i="4"/>
  <c r="K80" i="4"/>
  <c r="E42" i="3"/>
  <c r="E43" i="3"/>
  <c r="D184" i="2"/>
  <c r="D185" i="2"/>
  <c r="F82" i="7"/>
  <c r="F299" i="7"/>
  <c r="E82" i="7"/>
  <c r="E299" i="7"/>
  <c r="E290" i="7"/>
  <c r="E291" i="7"/>
  <c r="L89" i="4"/>
  <c r="L69" i="4"/>
  <c r="F257" i="7" s="1"/>
  <c r="F57" i="6" s="1"/>
  <c r="L87" i="4"/>
  <c r="L88" i="4"/>
  <c r="F35" i="4"/>
  <c r="F38" i="4" s="1"/>
  <c r="F37" i="3"/>
  <c r="F38" i="3"/>
  <c r="F39" i="3"/>
  <c r="F40" i="3"/>
  <c r="F36" i="3"/>
  <c r="F208" i="2"/>
  <c r="K7" i="4"/>
  <c r="K69" i="4"/>
  <c r="E257" i="7" s="1"/>
  <c r="E57" i="6" s="1"/>
  <c r="K89" i="4"/>
  <c r="K87" i="4"/>
  <c r="K88" i="4"/>
  <c r="E37" i="3"/>
  <c r="E36" i="3"/>
  <c r="E39" i="3"/>
  <c r="E38" i="3"/>
  <c r="E40" i="3"/>
  <c r="H184" i="2"/>
  <c r="G16" i="3"/>
  <c r="H185" i="2"/>
  <c r="E165" i="2"/>
  <c r="E183" i="2" s="1"/>
  <c r="D11" i="3"/>
  <c r="F35" i="6"/>
  <c r="F271" i="7"/>
  <c r="F287" i="7"/>
  <c r="F288" i="7" s="1"/>
  <c r="F294" i="7" s="1"/>
  <c r="E83" i="4"/>
  <c r="M91" i="4"/>
  <c r="M89" i="4"/>
  <c r="H61" i="4"/>
  <c r="N91" i="4"/>
  <c r="N90" i="4"/>
  <c r="N79" i="4"/>
  <c r="N41" i="4"/>
  <c r="N46" i="4" s="1"/>
  <c r="N54" i="4" s="1"/>
  <c r="H84" i="4"/>
  <c r="N80" i="4"/>
  <c r="N81" i="4"/>
  <c r="G135" i="7"/>
  <c r="G127" i="7" s="1"/>
  <c r="G119" i="7"/>
  <c r="E84" i="4"/>
  <c r="E207" i="2"/>
  <c r="D31" i="4"/>
  <c r="F13" i="12"/>
  <c r="F136" i="7"/>
  <c r="F281" i="7"/>
  <c r="F146" i="7"/>
  <c r="E8" i="4"/>
  <c r="F207" i="2" s="1"/>
  <c r="L56" i="4"/>
  <c r="K56" i="4"/>
  <c r="F206" i="2"/>
  <c r="F43" i="7"/>
  <c r="F12" i="7"/>
  <c r="F50" i="6" s="1"/>
  <c r="L31" i="4"/>
  <c r="L7" i="4" s="1"/>
  <c r="F61" i="4"/>
  <c r="L79" i="4"/>
  <c r="L41" i="4"/>
  <c r="L46" i="4" s="1"/>
  <c r="L54" i="4" s="1"/>
  <c r="F84" i="4"/>
  <c r="L90" i="4"/>
  <c r="L91" i="4"/>
  <c r="L81" i="4"/>
  <c r="F42" i="3"/>
  <c r="F43" i="3"/>
  <c r="L80" i="4"/>
  <c r="N56" i="4"/>
  <c r="D35" i="4"/>
  <c r="D38" i="4" s="1"/>
  <c r="F37" i="4"/>
  <c r="F58" i="3" s="1"/>
  <c r="F85" i="7"/>
  <c r="F86" i="7" s="1"/>
  <c r="F301" i="7" s="1"/>
  <c r="H31" i="4"/>
  <c r="E11" i="3"/>
  <c r="D25" i="3"/>
  <c r="H89" i="7"/>
  <c r="H76" i="7"/>
  <c r="H45" i="7"/>
  <c r="H135" i="7"/>
  <c r="H136" i="7" s="1"/>
  <c r="H272" i="7" s="1"/>
  <c r="H6" i="7" s="1"/>
  <c r="H118" i="7"/>
  <c r="H119" i="7" s="1"/>
  <c r="H271" i="7" s="1"/>
  <c r="H46" i="7"/>
  <c r="H44" i="7"/>
  <c r="H105" i="7"/>
  <c r="H5" i="7" s="1"/>
  <c r="H2" i="7"/>
  <c r="I104" i="7"/>
  <c r="E44" i="3"/>
  <c r="G32" i="7"/>
  <c r="G28" i="7" s="1"/>
  <c r="G49" i="7" s="1"/>
  <c r="H29" i="7"/>
  <c r="G37" i="6"/>
  <c r="E37" i="4"/>
  <c r="E58" i="3" s="1"/>
  <c r="E118" i="7"/>
  <c r="E119" i="7" s="1"/>
  <c r="E51" i="6"/>
  <c r="F105" i="7"/>
  <c r="F33" i="6" s="1"/>
  <c r="A155" i="7"/>
  <c r="A283" i="7" s="1"/>
  <c r="E280" i="7"/>
  <c r="E52" i="6"/>
  <c r="E55" i="6"/>
  <c r="E34" i="6"/>
  <c r="E69" i="6"/>
  <c r="E12" i="7"/>
  <c r="E50" i="6" s="1"/>
  <c r="E54" i="6"/>
  <c r="E13" i="7"/>
  <c r="E86" i="7"/>
  <c r="E301" i="7" s="1"/>
  <c r="M86" i="4" l="1"/>
  <c r="F203" i="7"/>
  <c r="I207" i="2"/>
  <c r="H38" i="4"/>
  <c r="F20" i="3"/>
  <c r="F11" i="3"/>
  <c r="E275" i="7"/>
  <c r="J84" i="4"/>
  <c r="J62" i="4"/>
  <c r="J86" i="4"/>
  <c r="J83" i="4"/>
  <c r="F40" i="6"/>
  <c r="G45" i="3"/>
  <c r="M62" i="4"/>
  <c r="F16" i="7"/>
  <c r="F39" i="6" s="1"/>
  <c r="F15" i="7" s="1"/>
  <c r="D85" i="4"/>
  <c r="F208" i="7"/>
  <c r="F216" i="7" s="1"/>
  <c r="F295" i="7" s="1"/>
  <c r="G67" i="4"/>
  <c r="G73" i="4" s="1"/>
  <c r="G85" i="4"/>
  <c r="H212" i="7"/>
  <c r="J1" i="7"/>
  <c r="J11" i="12"/>
  <c r="J30" i="6"/>
  <c r="J268" i="7"/>
  <c r="K26" i="7"/>
  <c r="J101" i="7"/>
  <c r="J53" i="7"/>
  <c r="J27" i="7"/>
  <c r="J201" i="7"/>
  <c r="F49" i="7"/>
  <c r="F276" i="7" s="1"/>
  <c r="G37" i="3"/>
  <c r="G39" i="3"/>
  <c r="G43" i="3"/>
  <c r="H146" i="7"/>
  <c r="H13" i="12"/>
  <c r="H203" i="7"/>
  <c r="H294" i="7"/>
  <c r="H3" i="7"/>
  <c r="H293" i="7"/>
  <c r="H8" i="7" s="1"/>
  <c r="L84" i="4"/>
  <c r="L83" i="4"/>
  <c r="L86" i="4"/>
  <c r="L62" i="4"/>
  <c r="F45" i="3"/>
  <c r="F218" i="7"/>
  <c r="F51" i="3"/>
  <c r="F36" i="6"/>
  <c r="F272" i="7"/>
  <c r="E31" i="4"/>
  <c r="F291" i="7"/>
  <c r="F211" i="2"/>
  <c r="F210" i="2"/>
  <c r="F290" i="7"/>
  <c r="G218" i="7"/>
  <c r="G282" i="7" s="1"/>
  <c r="G25" i="3"/>
  <c r="G51" i="3"/>
  <c r="I76" i="7"/>
  <c r="I89" i="7"/>
  <c r="J104" i="7"/>
  <c r="J105" i="7" s="1"/>
  <c r="J5" i="7" s="1"/>
  <c r="I135" i="7"/>
  <c r="I136" i="7" s="1"/>
  <c r="I272" i="7" s="1"/>
  <c r="I6" i="7" s="1"/>
  <c r="I118" i="7"/>
  <c r="I119" i="7" s="1"/>
  <c r="I271" i="7" s="1"/>
  <c r="I45" i="7"/>
  <c r="I46" i="7"/>
  <c r="I44" i="7"/>
  <c r="I2" i="7"/>
  <c r="H32" i="7"/>
  <c r="H28" i="7" s="1"/>
  <c r="I29" i="7"/>
  <c r="F184" i="2"/>
  <c r="E16" i="3"/>
  <c r="F185" i="2"/>
  <c r="F25" i="3"/>
  <c r="F67" i="4"/>
  <c r="F73" i="4" s="1"/>
  <c r="F85" i="4"/>
  <c r="F147" i="7"/>
  <c r="F153" i="7"/>
  <c r="D32" i="4"/>
  <c r="D81" i="4"/>
  <c r="E40" i="6"/>
  <c r="D19" i="3"/>
  <c r="D18" i="3"/>
  <c r="E16" i="7"/>
  <c r="E39" i="6" s="1"/>
  <c r="E15" i="7" s="1"/>
  <c r="D20" i="3"/>
  <c r="H207" i="2"/>
  <c r="G31" i="4"/>
  <c r="G35" i="4"/>
  <c r="G38" i="4" s="1"/>
  <c r="D16" i="3"/>
  <c r="E184" i="2"/>
  <c r="E185" i="2"/>
  <c r="E210" i="2"/>
  <c r="E212" i="2" s="1"/>
  <c r="E211" i="2"/>
  <c r="E218" i="2" s="1"/>
  <c r="J70" i="4" s="1"/>
  <c r="E35" i="6"/>
  <c r="E271" i="7"/>
  <c r="K62" i="4"/>
  <c r="K83" i="4"/>
  <c r="K86" i="4"/>
  <c r="K84" i="4"/>
  <c r="E45" i="3"/>
  <c r="N62" i="4"/>
  <c r="N84" i="4"/>
  <c r="N83" i="4"/>
  <c r="N86" i="4"/>
  <c r="K62" i="7"/>
  <c r="E94" i="7"/>
  <c r="H32" i="4"/>
  <c r="N32" i="4" s="1"/>
  <c r="H112" i="7"/>
  <c r="H211" i="7" s="1"/>
  <c r="G35" i="6"/>
  <c r="G271" i="7"/>
  <c r="M84" i="4"/>
  <c r="G185" i="2"/>
  <c r="G184" i="2"/>
  <c r="F16" i="3"/>
  <c r="D80" i="4"/>
  <c r="D17" i="3"/>
  <c r="D79" i="4"/>
  <c r="E35" i="4"/>
  <c r="E38" i="4" s="1"/>
  <c r="E67" i="4"/>
  <c r="E73" i="4" s="1"/>
  <c r="E85" i="4"/>
  <c r="G275" i="7"/>
  <c r="G94" i="7"/>
  <c r="G276" i="7"/>
  <c r="I105" i="7"/>
  <c r="I5" i="7" s="1"/>
  <c r="E135" i="7"/>
  <c r="E127" i="7" s="1"/>
  <c r="F32" i="4"/>
  <c r="L32" i="4" s="1"/>
  <c r="H126" i="7"/>
  <c r="H127" i="7" s="1"/>
  <c r="E218" i="7"/>
  <c r="E51" i="3"/>
  <c r="F293" i="7"/>
  <c r="G13" i="12"/>
  <c r="G203" i="7"/>
  <c r="G208" i="7" s="1"/>
  <c r="G216" i="7" s="1"/>
  <c r="G293" i="7"/>
  <c r="G146" i="7"/>
  <c r="G136" i="7"/>
  <c r="G294" i="7"/>
  <c r="G281" i="7"/>
  <c r="H67" i="4"/>
  <c r="H73" i="4" s="1"/>
  <c r="H85" i="4"/>
  <c r="E25" i="3"/>
  <c r="H80" i="4" l="1"/>
  <c r="H79" i="4"/>
  <c r="I211" i="2"/>
  <c r="I210" i="2"/>
  <c r="J71" i="4"/>
  <c r="P71" i="4" s="1"/>
  <c r="I212" i="7"/>
  <c r="F222" i="7"/>
  <c r="G16" i="7"/>
  <c r="G39" i="6" s="1"/>
  <c r="G15" i="7" s="1"/>
  <c r="G40" i="6"/>
  <c r="H115" i="7"/>
  <c r="H77" i="7" s="1"/>
  <c r="H213" i="7" s="1"/>
  <c r="F94" i="7"/>
  <c r="H81" i="4"/>
  <c r="F275" i="7"/>
  <c r="G165" i="7"/>
  <c r="G79" i="4"/>
  <c r="G80" i="4"/>
  <c r="G17" i="3"/>
  <c r="B184" i="2"/>
  <c r="K268" i="7"/>
  <c r="K201" i="7"/>
  <c r="K27" i="7"/>
  <c r="K101" i="7"/>
  <c r="K53" i="7"/>
  <c r="L26" i="7"/>
  <c r="K1" i="7"/>
  <c r="K11" i="12"/>
  <c r="K30" i="6"/>
  <c r="F80" i="4"/>
  <c r="F165" i="7"/>
  <c r="F81" i="4"/>
  <c r="F18" i="3"/>
  <c r="F79" i="4"/>
  <c r="F17" i="3"/>
  <c r="H174" i="7"/>
  <c r="H147" i="7"/>
  <c r="L62" i="7"/>
  <c r="I112" i="7"/>
  <c r="I211" i="7" s="1"/>
  <c r="E32" i="4"/>
  <c r="K32" i="4" s="1"/>
  <c r="E81" i="4"/>
  <c r="E19" i="3"/>
  <c r="E18" i="3"/>
  <c r="E20" i="3"/>
  <c r="G222" i="7"/>
  <c r="G295" i="7"/>
  <c r="E165" i="7"/>
  <c r="E80" i="4"/>
  <c r="E79" i="4"/>
  <c r="E17" i="3"/>
  <c r="E13" i="12"/>
  <c r="E203" i="7"/>
  <c r="E208" i="7" s="1"/>
  <c r="E216" i="7" s="1"/>
  <c r="E146" i="7"/>
  <c r="E281" i="7"/>
  <c r="E293" i="7"/>
  <c r="E294" i="7"/>
  <c r="E282" i="7"/>
  <c r="E136" i="7"/>
  <c r="G32" i="4"/>
  <c r="M32" i="4" s="1"/>
  <c r="G81" i="4"/>
  <c r="G20" i="3"/>
  <c r="G19" i="3"/>
  <c r="G18" i="3"/>
  <c r="J32" i="4"/>
  <c r="I126" i="7"/>
  <c r="I127" i="7" s="1"/>
  <c r="G272" i="7"/>
  <c r="G36" i="6"/>
  <c r="H210" i="2"/>
  <c r="H211" i="2"/>
  <c r="F154" i="7"/>
  <c r="I32" i="7"/>
  <c r="I28" i="7" s="1"/>
  <c r="J29" i="7"/>
  <c r="I146" i="7"/>
  <c r="I13" i="12"/>
  <c r="I293" i="7"/>
  <c r="I8" i="7" s="1"/>
  <c r="I203" i="7"/>
  <c r="I3" i="7"/>
  <c r="I294" i="7"/>
  <c r="F212" i="2"/>
  <c r="G153" i="7"/>
  <c r="G147" i="7"/>
  <c r="G14" i="12"/>
  <c r="G19" i="12" s="1"/>
  <c r="G44" i="6"/>
  <c r="G61" i="6" s="1"/>
  <c r="G297" i="7"/>
  <c r="G159" i="7"/>
  <c r="E14" i="12"/>
  <c r="E159" i="7"/>
  <c r="E44" i="6"/>
  <c r="E61" i="6" s="1"/>
  <c r="E297" i="7"/>
  <c r="K104" i="7"/>
  <c r="K105" i="7" s="1"/>
  <c r="K5" i="7" s="1"/>
  <c r="J118" i="7"/>
  <c r="J45" i="7"/>
  <c r="J44" i="7"/>
  <c r="J89" i="7"/>
  <c r="J135" i="7"/>
  <c r="J136" i="7" s="1"/>
  <c r="J272" i="7" s="1"/>
  <c r="J6" i="7" s="1"/>
  <c r="J76" i="7"/>
  <c r="J46" i="7"/>
  <c r="J2" i="7"/>
  <c r="G218" i="2"/>
  <c r="L70" i="4" s="1"/>
  <c r="F218" i="2"/>
  <c r="K70" i="4" s="1"/>
  <c r="F14" i="12"/>
  <c r="F19" i="12" s="1"/>
  <c r="F44" i="6"/>
  <c r="F61" i="6" s="1"/>
  <c r="F297" i="7"/>
  <c r="F159" i="7"/>
  <c r="F282" i="7"/>
  <c r="I115" i="7" l="1"/>
  <c r="I77" i="7" s="1"/>
  <c r="I213" i="7" s="1"/>
  <c r="G277" i="7"/>
  <c r="G278" i="7"/>
  <c r="H256" i="7"/>
  <c r="G17" i="7"/>
  <c r="G172" i="7"/>
  <c r="G42" i="6"/>
  <c r="G156" i="7"/>
  <c r="G63" i="6" s="1"/>
  <c r="G166" i="7"/>
  <c r="G274" i="7" s="1"/>
  <c r="L11" i="12"/>
  <c r="L53" i="7"/>
  <c r="L30" i="6"/>
  <c r="L268" i="7"/>
  <c r="L101" i="7"/>
  <c r="L1" i="7"/>
  <c r="L27" i="7"/>
  <c r="M26" i="7"/>
  <c r="L201" i="7"/>
  <c r="I174" i="7"/>
  <c r="I147" i="7"/>
  <c r="G154" i="7"/>
  <c r="J32" i="7"/>
  <c r="J28" i="7" s="1"/>
  <c r="K29" i="7"/>
  <c r="E17" i="7"/>
  <c r="E42" i="6"/>
  <c r="E166" i="7"/>
  <c r="E274" i="7" s="1"/>
  <c r="E156" i="7"/>
  <c r="E278" i="7"/>
  <c r="E277" i="7"/>
  <c r="M62" i="7"/>
  <c r="E161" i="7"/>
  <c r="E67" i="6" s="1"/>
  <c r="K71" i="4"/>
  <c r="E258" i="7"/>
  <c r="E153" i="7"/>
  <c r="E147" i="7"/>
  <c r="J112" i="7"/>
  <c r="J211" i="7" s="1"/>
  <c r="F161" i="7"/>
  <c r="F67" i="6" s="1"/>
  <c r="L71" i="4"/>
  <c r="F258" i="7"/>
  <c r="E222" i="7"/>
  <c r="E295" i="7"/>
  <c r="F42" i="6"/>
  <c r="F156" i="7"/>
  <c r="F17" i="7"/>
  <c r="F166" i="7"/>
  <c r="F274" i="7" s="1"/>
  <c r="F277" i="7"/>
  <c r="F278" i="7"/>
  <c r="J212" i="7"/>
  <c r="E19" i="12"/>
  <c r="J126" i="7"/>
  <c r="J127" i="7" s="1"/>
  <c r="L104" i="7"/>
  <c r="K118" i="7"/>
  <c r="K119" i="7" s="1"/>
  <c r="K271" i="7" s="1"/>
  <c r="K76" i="7"/>
  <c r="K45" i="7"/>
  <c r="K46" i="7"/>
  <c r="K44" i="7"/>
  <c r="K135" i="7"/>
  <c r="K89" i="7"/>
  <c r="K2" i="7"/>
  <c r="K136" i="7"/>
  <c r="K272" i="7" s="1"/>
  <c r="K6" i="7" s="1"/>
  <c r="H218" i="2"/>
  <c r="M70" i="4" s="1"/>
  <c r="I218" i="2"/>
  <c r="N70" i="4" s="1"/>
  <c r="N71" i="4" s="1"/>
  <c r="J119" i="7"/>
  <c r="J271" i="7" s="1"/>
  <c r="I32" i="4"/>
  <c r="E36" i="6"/>
  <c r="E272" i="7"/>
  <c r="J146" i="7"/>
  <c r="J13" i="12"/>
  <c r="J293" i="7"/>
  <c r="J8" i="7" s="1"/>
  <c r="J3" i="7"/>
  <c r="J294" i="7"/>
  <c r="J203" i="7"/>
  <c r="A32" i="4"/>
  <c r="K212" i="7" l="1"/>
  <c r="H170" i="7"/>
  <c r="G171" i="7"/>
  <c r="G41" i="6"/>
  <c r="G28" i="12"/>
  <c r="H17" i="12"/>
  <c r="G299" i="7"/>
  <c r="H175" i="7"/>
  <c r="H179" i="7" s="1"/>
  <c r="H183" i="7" s="1"/>
  <c r="M30" i="6"/>
  <c r="M101" i="7"/>
  <c r="M53" i="7"/>
  <c r="M268" i="7"/>
  <c r="M1" i="7"/>
  <c r="M27" i="7"/>
  <c r="N26" i="7"/>
  <c r="M201" i="7"/>
  <c r="M11" i="12"/>
  <c r="J115" i="7"/>
  <c r="J77" i="7" s="1"/>
  <c r="J213" i="7" s="1"/>
  <c r="E41" i="6"/>
  <c r="E28" i="12"/>
  <c r="K32" i="7"/>
  <c r="K28" i="7" s="1"/>
  <c r="L29" i="7"/>
  <c r="J174" i="7"/>
  <c r="J147" i="7"/>
  <c r="F41" i="6"/>
  <c r="F28" i="12"/>
  <c r="N62" i="7"/>
  <c r="R71" i="4"/>
  <c r="F259" i="7"/>
  <c r="K126" i="7"/>
  <c r="K127" i="7" s="1"/>
  <c r="F63" i="6"/>
  <c r="F162" i="7"/>
  <c r="F164" i="7" s="1"/>
  <c r="G161" i="7"/>
  <c r="G258" i="7"/>
  <c r="M71" i="4"/>
  <c r="L118" i="7"/>
  <c r="L119" i="7" s="1"/>
  <c r="L271" i="7" s="1"/>
  <c r="L44" i="7"/>
  <c r="L89" i="7"/>
  <c r="L135" i="7"/>
  <c r="L76" i="7"/>
  <c r="L45" i="7"/>
  <c r="L46" i="7"/>
  <c r="L2" i="7"/>
  <c r="M104" i="7"/>
  <c r="E154" i="7"/>
  <c r="E63" i="6"/>
  <c r="E162" i="7"/>
  <c r="E164" i="7" s="1"/>
  <c r="L105" i="7"/>
  <c r="L5" i="7" s="1"/>
  <c r="K146" i="7"/>
  <c r="K13" i="12"/>
  <c r="K3" i="7"/>
  <c r="K293" i="7"/>
  <c r="K8" i="7" s="1"/>
  <c r="K294" i="7"/>
  <c r="K203" i="7"/>
  <c r="K112" i="7"/>
  <c r="K211" i="7" s="1"/>
  <c r="Q71" i="4"/>
  <c r="E259" i="7"/>
  <c r="K115" i="7" l="1"/>
  <c r="K77" i="7" s="1"/>
  <c r="K213" i="7" s="1"/>
  <c r="H186" i="7"/>
  <c r="H176" i="7" s="1"/>
  <c r="H180" i="7" s="1"/>
  <c r="N27" i="7"/>
  <c r="N30" i="6"/>
  <c r="N11" i="12"/>
  <c r="O11" i="12" s="1"/>
  <c r="P11" i="12" s="1"/>
  <c r="Q11" i="12" s="1"/>
  <c r="R11" i="12" s="1"/>
  <c r="S11" i="12" s="1"/>
  <c r="N1" i="7"/>
  <c r="N268" i="7"/>
  <c r="N53" i="7"/>
  <c r="N201" i="7"/>
  <c r="N101" i="7"/>
  <c r="L212" i="7"/>
  <c r="M29" i="7"/>
  <c r="L32" i="7"/>
  <c r="L28" i="7" s="1"/>
  <c r="L13" i="12"/>
  <c r="L146" i="7"/>
  <c r="L3" i="7"/>
  <c r="L293" i="7"/>
  <c r="L8" i="7" s="1"/>
  <c r="L294" i="7"/>
  <c r="L203" i="7"/>
  <c r="K174" i="7"/>
  <c r="K147" i="7"/>
  <c r="N104" i="7"/>
  <c r="N105" i="7" s="1"/>
  <c r="N5" i="7" s="1"/>
  <c r="M44" i="7"/>
  <c r="M135" i="7"/>
  <c r="M76" i="7"/>
  <c r="M45" i="7"/>
  <c r="M118" i="7"/>
  <c r="M46" i="7"/>
  <c r="M89" i="7"/>
  <c r="M2" i="7"/>
  <c r="L112" i="7"/>
  <c r="L211" i="7" s="1"/>
  <c r="G67" i="6"/>
  <c r="G162" i="7"/>
  <c r="G164" i="7" s="1"/>
  <c r="B164" i="7" s="1"/>
  <c r="L136" i="7"/>
  <c r="L272" i="7" s="1"/>
  <c r="L6" i="7" s="1"/>
  <c r="L126" i="7"/>
  <c r="L127" i="7" s="1"/>
  <c r="M105" i="7"/>
  <c r="M5" i="7" s="1"/>
  <c r="S71" i="4"/>
  <c r="G259" i="7"/>
  <c r="M212" i="7" l="1"/>
  <c r="L115" i="7"/>
  <c r="L77" i="7" s="1"/>
  <c r="L213" i="7" s="1"/>
  <c r="M32" i="7"/>
  <c r="M28" i="7" s="1"/>
  <c r="N29" i="7"/>
  <c r="N32" i="7" s="1"/>
  <c r="N28" i="7" s="1"/>
  <c r="M126" i="7"/>
  <c r="M127" i="7" s="1"/>
  <c r="M112" i="7"/>
  <c r="M211" i="7" s="1"/>
  <c r="N135" i="7"/>
  <c r="N76" i="7"/>
  <c r="N89" i="7"/>
  <c r="N118" i="7"/>
  <c r="N44" i="7"/>
  <c r="N45" i="7"/>
  <c r="N46" i="7"/>
  <c r="N2" i="7"/>
  <c r="L174" i="7"/>
  <c r="L147" i="7"/>
  <c r="H189" i="7"/>
  <c r="H190" i="7"/>
  <c r="M13" i="12"/>
  <c r="M146" i="7"/>
  <c r="M3" i="7"/>
  <c r="M294" i="7"/>
  <c r="M293" i="7"/>
  <c r="M8" i="7" s="1"/>
  <c r="M203" i="7"/>
  <c r="M136" i="7"/>
  <c r="M272" i="7" s="1"/>
  <c r="M6" i="7" s="1"/>
  <c r="M119" i="7"/>
  <c r="M271" i="7" s="1"/>
  <c r="M174" i="7" l="1"/>
  <c r="M147" i="7"/>
  <c r="M115" i="7"/>
  <c r="M77" i="7" s="1"/>
  <c r="M213" i="7" s="1"/>
  <c r="N126" i="7"/>
  <c r="N127" i="7" s="1"/>
  <c r="N146" i="7"/>
  <c r="N13" i="12"/>
  <c r="N294" i="7"/>
  <c r="N203" i="7"/>
  <c r="N3" i="7"/>
  <c r="N293" i="7"/>
  <c r="N8" i="7" s="1"/>
  <c r="H191" i="7"/>
  <c r="N212" i="7"/>
  <c r="N119" i="7"/>
  <c r="N271" i="7" s="1"/>
  <c r="N136" i="7"/>
  <c r="N272" i="7" s="1"/>
  <c r="N6" i="7" s="1"/>
  <c r="N112" i="7"/>
  <c r="N211" i="7" s="1"/>
  <c r="N115" i="7" l="1"/>
  <c r="N77" i="7" s="1"/>
  <c r="N213" i="7" s="1"/>
  <c r="N174" i="7"/>
  <c r="N147" i="7"/>
  <c r="O13" i="12"/>
  <c r="H187" i="7"/>
  <c r="H184" i="7"/>
  <c r="H177" i="7" l="1"/>
  <c r="H181" i="7" s="1"/>
  <c r="H192" i="7" s="1"/>
  <c r="P13" i="12"/>
  <c r="H193" i="7" l="1"/>
  <c r="H194" i="7"/>
  <c r="H185" i="7" s="1"/>
  <c r="H188" i="7"/>
  <c r="Q13" i="12"/>
  <c r="H178" i="7" l="1"/>
  <c r="H182" i="7" s="1"/>
  <c r="H195" i="7"/>
  <c r="H98" i="7"/>
  <c r="H196" i="7"/>
  <c r="R13" i="12"/>
  <c r="S13" i="12" l="1"/>
  <c r="H197" i="7"/>
  <c r="H151" i="7" l="1"/>
  <c r="H149" i="7"/>
  <c r="H20" i="12" l="1"/>
  <c r="H205" i="7"/>
  <c r="H282" i="7"/>
  <c r="H281" i="7"/>
  <c r="H7" i="7" s="1"/>
  <c r="H285" i="7"/>
  <c r="H284" i="7"/>
  <c r="H280" i="7"/>
  <c r="H153" i="7"/>
  <c r="H169" i="7" l="1"/>
  <c r="H171" i="7" s="1"/>
  <c r="H154" i="7"/>
  <c r="H172" i="7" l="1"/>
  <c r="H163" i="7"/>
  <c r="H16" i="12" l="1"/>
  <c r="H206" i="7"/>
  <c r="H208" i="7" s="1"/>
  <c r="H165" i="7"/>
  <c r="I170" i="7"/>
  <c r="I175" i="7" s="1"/>
  <c r="I256" i="7" l="1"/>
  <c r="H28" i="12"/>
  <c r="H29" i="12" s="1"/>
  <c r="H57" i="7"/>
  <c r="H166" i="7"/>
  <c r="H274" i="7" s="1"/>
  <c r="H97" i="7"/>
  <c r="H47" i="7" l="1"/>
  <c r="H80" i="7"/>
  <c r="I56" i="7"/>
  <c r="H55" i="7"/>
  <c r="I17" i="12"/>
  <c r="H79" i="7"/>
  <c r="H78" i="7" l="1"/>
  <c r="H214" i="7" s="1"/>
  <c r="H210" i="7" s="1"/>
  <c r="H216" i="7" s="1"/>
  <c r="H255" i="7"/>
  <c r="H287" i="7"/>
  <c r="H277" i="7"/>
  <c r="H299" i="7"/>
  <c r="H261" i="7"/>
  <c r="H43" i="7"/>
  <c r="H49" i="7" s="1"/>
  <c r="I179" i="7" l="1"/>
  <c r="H75" i="7"/>
  <c r="H82" i="7" s="1"/>
  <c r="I183" i="7"/>
  <c r="I186" i="7"/>
  <c r="H288" i="7"/>
  <c r="H291" i="7" s="1"/>
  <c r="H4" i="7"/>
  <c r="H85" i="7"/>
  <c r="H295" i="7"/>
  <c r="H9" i="7" s="1"/>
  <c r="H222" i="7"/>
  <c r="H259" i="7" s="1"/>
  <c r="H290" i="7"/>
  <c r="H94" i="7"/>
  <c r="H275" i="7"/>
  <c r="H278" i="7"/>
  <c r="H276" i="7"/>
  <c r="H15" i="12" l="1"/>
  <c r="H19" i="12" s="1"/>
  <c r="H301" i="7"/>
  <c r="H86" i="7" s="1"/>
  <c r="I176" i="7"/>
  <c r="I180" i="7" s="1"/>
  <c r="I190" i="7" l="1"/>
  <c r="I189" i="7"/>
  <c r="I191" i="7" s="1"/>
  <c r="I184" i="7" s="1"/>
  <c r="H30" i="12"/>
  <c r="H31" i="12" s="1"/>
  <c r="H22" i="12"/>
  <c r="H33" i="12" s="1"/>
  <c r="H34" i="12" s="1"/>
  <c r="I187" i="7" l="1"/>
  <c r="I177" i="7" s="1"/>
  <c r="I181" i="7" s="1"/>
  <c r="I192" i="7" s="1"/>
  <c r="I193" i="7" l="1"/>
  <c r="I194" i="7"/>
  <c r="I188" i="7" l="1"/>
  <c r="I185" i="7"/>
  <c r="I178" i="7" l="1"/>
  <c r="I182" i="7" s="1"/>
  <c r="I98" i="7"/>
  <c r="I195" i="7"/>
  <c r="I196" i="7"/>
  <c r="I197" i="7" l="1"/>
  <c r="I149" i="7" l="1"/>
  <c r="I151" i="7"/>
  <c r="I20" i="12" l="1"/>
  <c r="I282" i="7"/>
  <c r="I285" i="7"/>
  <c r="I281" i="7"/>
  <c r="I7" i="7" s="1"/>
  <c r="I284" i="7"/>
  <c r="I205" i="7"/>
  <c r="I280" i="7"/>
  <c r="I153" i="7"/>
  <c r="I169" i="7" l="1"/>
  <c r="I171" i="7" s="1"/>
  <c r="I154" i="7"/>
  <c r="I172" i="7" l="1"/>
  <c r="I163" i="7"/>
  <c r="I16" i="12" l="1"/>
  <c r="I206" i="7"/>
  <c r="I208" i="7" s="1"/>
  <c r="I165" i="7"/>
  <c r="J170" i="7"/>
  <c r="J175" i="7" s="1"/>
  <c r="J256" i="7" l="1"/>
  <c r="I57" i="7" s="1"/>
  <c r="I28" i="12"/>
  <c r="I29" i="12" s="1"/>
  <c r="I166" i="7"/>
  <c r="I274" i="7" s="1"/>
  <c r="I97" i="7"/>
  <c r="I47" i="7" l="1"/>
  <c r="I80" i="7"/>
  <c r="I55" i="7"/>
  <c r="J56" i="7"/>
  <c r="J17" i="12"/>
  <c r="I79" i="7"/>
  <c r="I277" i="7" l="1"/>
  <c r="I299" i="7"/>
  <c r="I78" i="7"/>
  <c r="I214" i="7" s="1"/>
  <c r="I255" i="7"/>
  <c r="I287" i="7"/>
  <c r="I261" i="7"/>
  <c r="I43" i="7"/>
  <c r="I49" i="7" s="1"/>
  <c r="I276" i="7" s="1"/>
  <c r="I75" i="7" l="1"/>
  <c r="I82" i="7" s="1"/>
  <c r="I85" i="7"/>
  <c r="J179" i="7"/>
  <c r="J183" i="7" s="1"/>
  <c r="I288" i="7"/>
  <c r="I291" i="7" s="1"/>
  <c r="I4" i="7"/>
  <c r="I15" i="12"/>
  <c r="I19" i="12" s="1"/>
  <c r="I210" i="7"/>
  <c r="I216" i="7" s="1"/>
  <c r="I301" i="7"/>
  <c r="I86" i="7" s="1"/>
  <c r="I290" i="7"/>
  <c r="I94" i="7"/>
  <c r="I278" i="7"/>
  <c r="I275" i="7"/>
  <c r="J186" i="7" l="1"/>
  <c r="J176" i="7" s="1"/>
  <c r="J180" i="7" s="1"/>
  <c r="I30" i="12"/>
  <c r="I31" i="12" s="1"/>
  <c r="I22" i="12"/>
  <c r="I33" i="12" s="1"/>
  <c r="I34" i="12" s="1"/>
  <c r="I222" i="7"/>
  <c r="I259" i="7" s="1"/>
  <c r="I295" i="7"/>
  <c r="I9" i="7" s="1"/>
  <c r="J190" i="7" l="1"/>
  <c r="J189" i="7"/>
  <c r="J191" i="7" s="1"/>
  <c r="J187" i="7" s="1"/>
  <c r="J184" i="7" l="1"/>
  <c r="J177" i="7" s="1"/>
  <c r="J181" i="7" s="1"/>
  <c r="J192" i="7" s="1"/>
  <c r="J193" i="7"/>
  <c r="J194" i="7" l="1"/>
  <c r="J188" i="7" l="1"/>
  <c r="J185" i="7"/>
  <c r="J178" i="7" s="1"/>
  <c r="J182" i="7" s="1"/>
  <c r="J98" i="7" l="1"/>
  <c r="J195" i="7"/>
  <c r="J196" i="7"/>
  <c r="J197" i="7" l="1"/>
  <c r="J149" i="7" l="1"/>
  <c r="J151" i="7"/>
  <c r="J20" i="12" l="1"/>
  <c r="J282" i="7"/>
  <c r="J281" i="7"/>
  <c r="J7" i="7" s="1"/>
  <c r="J285" i="7"/>
  <c r="J284" i="7"/>
  <c r="J205" i="7"/>
  <c r="J280" i="7"/>
  <c r="J153" i="7"/>
  <c r="J169" i="7" l="1"/>
  <c r="J171" i="7" s="1"/>
  <c r="J154" i="7"/>
  <c r="J172" i="7" l="1"/>
  <c r="J163" i="7"/>
  <c r="J16" i="12" l="1"/>
  <c r="J206" i="7"/>
  <c r="J208" i="7" s="1"/>
  <c r="J165" i="7"/>
  <c r="K170" i="7"/>
  <c r="K175" i="7" s="1"/>
  <c r="K256" i="7" l="1"/>
  <c r="J28" i="12"/>
  <c r="J29" i="12" s="1"/>
  <c r="J57" i="7"/>
  <c r="J166" i="7"/>
  <c r="J274" i="7" s="1"/>
  <c r="J97" i="7"/>
  <c r="J47" i="7" l="1"/>
  <c r="J80" i="7"/>
  <c r="J55" i="7"/>
  <c r="K56" i="7"/>
  <c r="K17" i="12"/>
  <c r="J79" i="7"/>
  <c r="J78" i="7" l="1"/>
  <c r="J214" i="7" s="1"/>
  <c r="J255" i="7"/>
  <c r="J287" i="7"/>
  <c r="J299" i="7"/>
  <c r="J277" i="7"/>
  <c r="J261" i="7"/>
  <c r="J43" i="7"/>
  <c r="J49" i="7" s="1"/>
  <c r="J276" i="7" s="1"/>
  <c r="K179" i="7" l="1"/>
  <c r="K183" i="7" s="1"/>
  <c r="J75" i="7"/>
  <c r="J82" i="7" s="1"/>
  <c r="J94" i="7" s="1"/>
  <c r="J288" i="7"/>
  <c r="J291" i="7" s="1"/>
  <c r="J4" i="7"/>
  <c r="J85" i="7"/>
  <c r="J290" i="7"/>
  <c r="J275" i="7"/>
  <c r="J278" i="7"/>
  <c r="K186" i="7" l="1"/>
  <c r="J15" i="12"/>
  <c r="J19" i="12" s="1"/>
  <c r="J210" i="7"/>
  <c r="J216" i="7" s="1"/>
  <c r="J301" i="7"/>
  <c r="J86" i="7" s="1"/>
  <c r="K176" i="7"/>
  <c r="K180" i="7" s="1"/>
  <c r="K190" i="7" l="1"/>
  <c r="K189" i="7"/>
  <c r="J222" i="7"/>
  <c r="J259" i="7" s="1"/>
  <c r="J295" i="7"/>
  <c r="J9" i="7" s="1"/>
  <c r="J22" i="12"/>
  <c r="J33" i="12" s="1"/>
  <c r="J34" i="12" s="1"/>
  <c r="J30" i="12"/>
  <c r="J31" i="12" s="1"/>
  <c r="K191" i="7" l="1"/>
  <c r="K187" i="7" s="1"/>
  <c r="K184" i="7" l="1"/>
  <c r="K177" i="7" s="1"/>
  <c r="K181" i="7" s="1"/>
  <c r="K192" i="7" s="1"/>
  <c r="K193" i="7"/>
  <c r="K194" i="7" l="1"/>
  <c r="K185" i="7" l="1"/>
  <c r="K188" i="7"/>
  <c r="K178" i="7" l="1"/>
  <c r="K182" i="7" s="1"/>
  <c r="K98" i="7" l="1"/>
  <c r="K196" i="7"/>
  <c r="K195" i="7"/>
  <c r="K197" i="7" l="1"/>
  <c r="K149" i="7" s="1"/>
  <c r="K151" i="7"/>
  <c r="K280" i="7" s="1"/>
  <c r="K20" i="12"/>
  <c r="K285" i="7"/>
  <c r="K205" i="7"/>
  <c r="K281" i="7"/>
  <c r="K7" i="7" s="1"/>
  <c r="K284" i="7"/>
  <c r="K282" i="7"/>
  <c r="K153" i="7"/>
  <c r="K169" i="7" l="1"/>
  <c r="K171" i="7" s="1"/>
  <c r="K154" i="7"/>
  <c r="K163" i="7" l="1"/>
  <c r="K172" i="7"/>
  <c r="L170" i="7" l="1"/>
  <c r="L175" i="7" s="1"/>
  <c r="K16" i="12"/>
  <c r="K206" i="7"/>
  <c r="K208" i="7" s="1"/>
  <c r="K165" i="7"/>
  <c r="L256" i="7" l="1"/>
  <c r="K28" i="12"/>
  <c r="K29" i="12" s="1"/>
  <c r="K57" i="7"/>
  <c r="K166" i="7"/>
  <c r="K274" i="7" s="1"/>
  <c r="K97" i="7"/>
  <c r="K80" i="7" l="1"/>
  <c r="K47" i="7"/>
  <c r="K55" i="7"/>
  <c r="L56" i="7"/>
  <c r="L17" i="12"/>
  <c r="K79" i="7"/>
  <c r="K78" i="7" l="1"/>
  <c r="K214" i="7" s="1"/>
  <c r="K261" i="7"/>
  <c r="K43" i="7"/>
  <c r="K49" i="7" s="1"/>
  <c r="K277" i="7"/>
  <c r="K299" i="7"/>
  <c r="K255" i="7"/>
  <c r="K287" i="7"/>
  <c r="K290" i="7" s="1"/>
  <c r="K75" i="7" l="1"/>
  <c r="K82" i="7" s="1"/>
  <c r="L179" i="7"/>
  <c r="L186" i="7" s="1"/>
  <c r="K278" i="7"/>
  <c r="K275" i="7"/>
  <c r="K94" i="7"/>
  <c r="K276" i="7"/>
  <c r="K85" i="7"/>
  <c r="K288" i="7"/>
  <c r="K291" i="7" s="1"/>
  <c r="K4" i="7"/>
  <c r="L183" i="7" l="1"/>
  <c r="L176" i="7" s="1"/>
  <c r="L180" i="7" s="1"/>
  <c r="K15" i="12"/>
  <c r="K19" i="12" s="1"/>
  <c r="K210" i="7"/>
  <c r="K216" i="7" s="1"/>
  <c r="K301" i="7"/>
  <c r="K86" i="7" s="1"/>
  <c r="K30" i="12" l="1"/>
  <c r="K31" i="12" s="1"/>
  <c r="K22" i="12"/>
  <c r="K33" i="12" s="1"/>
  <c r="K34" i="12" s="1"/>
  <c r="K222" i="7"/>
  <c r="K259" i="7" s="1"/>
  <c r="K295" i="7"/>
  <c r="K9" i="7" s="1"/>
  <c r="L189" i="7"/>
  <c r="L190" i="7"/>
  <c r="L191" i="7" l="1"/>
  <c r="L187" i="7" s="1"/>
  <c r="L184" i="7"/>
  <c r="L177" i="7" s="1"/>
  <c r="L181" i="7" s="1"/>
  <c r="L192" i="7" l="1"/>
  <c r="L193" i="7"/>
  <c r="L194" i="7" l="1"/>
  <c r="L185" i="7" l="1"/>
  <c r="L188" i="7"/>
  <c r="L178" i="7" l="1"/>
  <c r="L182" i="7" s="1"/>
  <c r="L98" i="7" l="1"/>
  <c r="L195" i="7"/>
  <c r="L196" i="7"/>
  <c r="L197" i="7" l="1"/>
  <c r="L149" i="7" l="1"/>
  <c r="L151" i="7"/>
  <c r="L20" i="12" l="1"/>
  <c r="L205" i="7"/>
  <c r="L281" i="7"/>
  <c r="L7" i="7" s="1"/>
  <c r="L282" i="7"/>
  <c r="L285" i="7"/>
  <c r="L284" i="7"/>
  <c r="L280" i="7"/>
  <c r="L153" i="7"/>
  <c r="L169" i="7" l="1"/>
  <c r="L171" i="7" s="1"/>
  <c r="L154" i="7"/>
  <c r="L163" i="7" l="1"/>
  <c r="L172" i="7"/>
  <c r="M170" i="7" l="1"/>
  <c r="M175" i="7" s="1"/>
  <c r="L16" i="12"/>
  <c r="L206" i="7"/>
  <c r="L208" i="7" s="1"/>
  <c r="L165" i="7"/>
  <c r="L28" i="12" l="1"/>
  <c r="L29" i="12" s="1"/>
  <c r="M256" i="7"/>
  <c r="L57" i="7" s="1"/>
  <c r="L166" i="7"/>
  <c r="L274" i="7" s="1"/>
  <c r="L97" i="7"/>
  <c r="M56" i="7" l="1"/>
  <c r="L55" i="7"/>
  <c r="L80" i="7"/>
  <c r="L47" i="7"/>
  <c r="M17" i="12"/>
  <c r="L79" i="7"/>
  <c r="L255" i="7" l="1"/>
  <c r="L287" i="7"/>
  <c r="L290" i="7" s="1"/>
  <c r="L277" i="7"/>
  <c r="L299" i="7"/>
  <c r="L78" i="7"/>
  <c r="L214" i="7" s="1"/>
  <c r="M179" i="7"/>
  <c r="L261" i="7"/>
  <c r="L43" i="7"/>
  <c r="L49" i="7" s="1"/>
  <c r="L288" i="7" l="1"/>
  <c r="L291" i="7" s="1"/>
  <c r="L4" i="7"/>
  <c r="L278" i="7"/>
  <c r="L275" i="7"/>
  <c r="L85" i="7"/>
  <c r="L75" i="7"/>
  <c r="L82" i="7" s="1"/>
  <c r="L94" i="7" s="1"/>
  <c r="M183" i="7"/>
  <c r="M186" i="7"/>
  <c r="L276" i="7"/>
  <c r="M176" i="7" l="1"/>
  <c r="M180" i="7" s="1"/>
  <c r="M189" i="7" s="1"/>
  <c r="L15" i="12"/>
  <c r="L19" i="12" s="1"/>
  <c r="L210" i="7"/>
  <c r="L216" i="7" s="1"/>
  <c r="L301" i="7"/>
  <c r="L86" i="7" s="1"/>
  <c r="M190" i="7" l="1"/>
  <c r="L295" i="7"/>
  <c r="L9" i="7" s="1"/>
  <c r="L222" i="7"/>
  <c r="L259" i="7" s="1"/>
  <c r="L22" i="12"/>
  <c r="L33" i="12" s="1"/>
  <c r="L34" i="12" s="1"/>
  <c r="L30" i="12"/>
  <c r="L31" i="12" s="1"/>
  <c r="M191" i="7"/>
  <c r="M184" i="7" l="1"/>
  <c r="M187" i="7"/>
  <c r="M177" i="7" l="1"/>
  <c r="M181" i="7" s="1"/>
  <c r="M192" i="7" l="1"/>
  <c r="M193" i="7"/>
  <c r="M194" i="7" l="1"/>
  <c r="M185" i="7" l="1"/>
  <c r="M188" i="7"/>
  <c r="M178" i="7" l="1"/>
  <c r="M182" i="7" s="1"/>
  <c r="M195" i="7" l="1"/>
  <c r="M196" i="7"/>
  <c r="M98" i="7"/>
  <c r="M197" i="7" l="1"/>
  <c r="M151" i="7" l="1"/>
  <c r="M149" i="7"/>
  <c r="M20" i="12" l="1"/>
  <c r="M284" i="7"/>
  <c r="M281" i="7"/>
  <c r="M7" i="7" s="1"/>
  <c r="M205" i="7"/>
  <c r="M282" i="7"/>
  <c r="M285" i="7"/>
  <c r="M280" i="7"/>
  <c r="M153" i="7"/>
  <c r="M169" i="7" l="1"/>
  <c r="M171" i="7" s="1"/>
  <c r="M154" i="7"/>
  <c r="M163" i="7" l="1"/>
  <c r="M172" i="7"/>
  <c r="N170" i="7" l="1"/>
  <c r="N175" i="7"/>
  <c r="M16" i="12"/>
  <c r="M206" i="7"/>
  <c r="M208" i="7" s="1"/>
  <c r="M165" i="7"/>
  <c r="M28" i="12" l="1"/>
  <c r="M29" i="12" s="1"/>
  <c r="N256" i="7"/>
  <c r="M57" i="7" s="1"/>
  <c r="M166" i="7"/>
  <c r="M274" i="7" s="1"/>
  <c r="M97" i="7"/>
  <c r="M55" i="7" l="1"/>
  <c r="N56" i="7"/>
  <c r="M80" i="7"/>
  <c r="M47" i="7"/>
  <c r="N17" i="12"/>
  <c r="M79" i="7"/>
  <c r="M78" i="7" l="1"/>
  <c r="M214" i="7" s="1"/>
  <c r="M255" i="7"/>
  <c r="M75" i="7"/>
  <c r="M82" i="7" s="1"/>
  <c r="M287" i="7"/>
  <c r="M290" i="7" s="1"/>
  <c r="N179" i="7"/>
  <c r="M261" i="7"/>
  <c r="M43" i="7"/>
  <c r="M49" i="7" s="1"/>
  <c r="M276" i="7" s="1"/>
  <c r="M277" i="7"/>
  <c r="M299" i="7"/>
  <c r="N183" i="7" l="1"/>
  <c r="N186" i="7"/>
  <c r="M288" i="7"/>
  <c r="M291" i="7" s="1"/>
  <c r="M4" i="7"/>
  <c r="M278" i="7"/>
  <c r="M275" i="7"/>
  <c r="M94" i="7"/>
  <c r="M85" i="7"/>
  <c r="M15" i="12" l="1"/>
  <c r="M19" i="12" s="1"/>
  <c r="M210" i="7"/>
  <c r="M216" i="7" s="1"/>
  <c r="M301" i="7"/>
  <c r="M86" i="7" s="1"/>
  <c r="N176" i="7"/>
  <c r="N180" i="7" s="1"/>
  <c r="N190" i="7" l="1"/>
  <c r="N189" i="7"/>
  <c r="M295" i="7"/>
  <c r="M9" i="7" s="1"/>
  <c r="M222" i="7"/>
  <c r="M259" i="7" s="1"/>
  <c r="M30" i="12"/>
  <c r="M31" i="12" s="1"/>
  <c r="M22" i="12"/>
  <c r="M33" i="12" s="1"/>
  <c r="M34" i="12" s="1"/>
  <c r="N191" i="7" l="1"/>
  <c r="N184" i="7" s="1"/>
  <c r="N187" i="7"/>
  <c r="N177" i="7" s="1"/>
  <c r="N181" i="7" s="1"/>
  <c r="N192" i="7" l="1"/>
  <c r="N193" i="7"/>
  <c r="N194" i="7" l="1"/>
  <c r="N188" i="7" s="1"/>
  <c r="N185" i="7" l="1"/>
  <c r="N178" i="7" s="1"/>
  <c r="N182" i="7" s="1"/>
  <c r="N195" i="7" s="1"/>
  <c r="N98" i="7" l="1"/>
  <c r="N196" i="7"/>
  <c r="N197" i="7" s="1"/>
  <c r="N149" i="7" l="1"/>
  <c r="N151" i="7"/>
  <c r="N153" i="7" l="1"/>
  <c r="N20" i="12"/>
  <c r="N205" i="7"/>
  <c r="N284" i="7"/>
  <c r="N282" i="7"/>
  <c r="N285" i="7"/>
  <c r="N280" i="7"/>
  <c r="N281" i="7"/>
  <c r="N7" i="7" s="1"/>
  <c r="N169" i="7" l="1"/>
  <c r="N171" i="7" s="1"/>
  <c r="N154" i="7"/>
  <c r="N163" i="7" l="1"/>
  <c r="N172" i="7"/>
  <c r="N206" i="7" l="1"/>
  <c r="N208" i="7" s="1"/>
  <c r="N165" i="7"/>
  <c r="N16" i="12"/>
  <c r="O16" i="12" s="1"/>
  <c r="P16" i="12" s="1"/>
  <c r="Q16" i="12" s="1"/>
  <c r="N28" i="12" l="1"/>
  <c r="N166" i="7"/>
  <c r="N274" i="7" s="1"/>
  <c r="N97" i="7"/>
  <c r="R256" i="7"/>
  <c r="R16" i="12"/>
  <c r="N79" i="7" l="1"/>
  <c r="N78" i="7" s="1"/>
  <c r="N214" i="7" s="1"/>
  <c r="O17" i="12"/>
  <c r="N57" i="7"/>
  <c r="N55" i="7" s="1"/>
  <c r="N80" i="7"/>
  <c r="N75" i="7" s="1"/>
  <c r="N47" i="7"/>
  <c r="O28" i="12"/>
  <c r="P28" i="12" s="1"/>
  <c r="Q28" i="12" s="1"/>
  <c r="R28" i="12" s="1"/>
  <c r="S28" i="12" s="1"/>
  <c r="N29" i="12"/>
  <c r="O29" i="12" s="1"/>
  <c r="P29" i="12" s="1"/>
  <c r="Q29" i="12" s="1"/>
  <c r="R29" i="12" s="1"/>
  <c r="S29" i="12" s="1"/>
  <c r="N85" i="7"/>
  <c r="S16" i="12"/>
  <c r="N82" i="7" l="1"/>
  <c r="N255" i="7"/>
  <c r="N287" i="7"/>
  <c r="N290" i="7" s="1"/>
  <c r="N299" i="7"/>
  <c r="N277" i="7"/>
  <c r="O19" i="12"/>
  <c r="O30" i="12" s="1"/>
  <c r="P17" i="12"/>
  <c r="N43" i="7"/>
  <c r="N49" i="7" s="1"/>
  <c r="N261" i="7"/>
  <c r="N15" i="12"/>
  <c r="N19" i="12" s="1"/>
  <c r="N210" i="7"/>
  <c r="N216" i="7" s="1"/>
  <c r="N301" i="7"/>
  <c r="N86" i="7" s="1"/>
  <c r="N94" i="7" l="1"/>
  <c r="Q17" i="12"/>
  <c r="P19" i="12"/>
  <c r="P30" i="12" s="1"/>
  <c r="N4" i="7"/>
  <c r="N288" i="7"/>
  <c r="N291" i="7" s="1"/>
  <c r="N278" i="7"/>
  <c r="N275" i="7"/>
  <c r="N276" i="7"/>
  <c r="N222" i="7"/>
  <c r="N259" i="7" s="1"/>
  <c r="N295" i="7"/>
  <c r="N9" i="7" s="1"/>
  <c r="N22" i="12"/>
  <c r="N33" i="12" s="1"/>
  <c r="N34" i="12" s="1"/>
  <c r="N30" i="12"/>
  <c r="N31" i="12" s="1"/>
  <c r="O31" i="12" s="1"/>
  <c r="P31" i="12" s="1"/>
  <c r="R17" i="12" l="1"/>
  <c r="Q19" i="12"/>
  <c r="Q30" i="12" s="1"/>
  <c r="Q31" i="12" s="1"/>
  <c r="R19" i="12" l="1"/>
  <c r="R30" i="12" s="1"/>
  <c r="R31" i="12" s="1"/>
  <c r="S17" i="12"/>
  <c r="S19" i="12" s="1"/>
  <c r="S30" i="12" s="1"/>
  <c r="S31"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pu26792</author>
  </authors>
  <commentList>
    <comment ref="C35" authorId="0" shapeId="0" xr:uid="{00000000-0006-0000-0000-000001000000}">
      <text>
        <r>
          <rPr>
            <b/>
            <sz val="8"/>
            <color rgb="FF000000"/>
            <rFont val="Tahoma"/>
            <family val="2"/>
          </rPr>
          <t>retraitement utile pour mieux distinguer les postes financiers des postes d'exploitation au bilan, et extérioriser les relations de financement refinancement des sociétés ou actionnaires d'un même groupe</t>
        </r>
      </text>
    </comment>
    <comment ref="C79" authorId="0" shapeId="0" xr:uid="{00000000-0006-0000-0000-000002000000}">
      <text>
        <r>
          <rPr>
            <sz val="8"/>
            <color indexed="81"/>
            <rFont val="Tahoma"/>
            <family val="2"/>
          </rPr>
          <t xml:space="preserve">Dividendes à distribuer au titre des bénéfices de l'année en cours, que l'on soustrait de ces bénéfices afin d'obtenir des fonds propres "après distribution" (plus conservateurs)
</t>
        </r>
      </text>
    </comment>
    <comment ref="C84" authorId="0" shapeId="0" xr:uid="{00000000-0006-0000-0000-000003000000}">
      <text>
        <r>
          <rPr>
            <sz val="8"/>
            <color indexed="81"/>
            <rFont val="Tahoma"/>
            <family val="2"/>
          </rPr>
          <t xml:space="preserve">part des subventions d'investissement et des provisions réglementées qui devrait revenir dans les FP après que ces subventions et provisions auront été reprises au compte de résultats et imposées (au taux "i")
</t>
        </r>
      </text>
    </comment>
    <comment ref="C97" authorId="0" shapeId="0" xr:uid="{00000000-0006-0000-0000-000004000000}">
      <text>
        <r>
          <rPr>
            <b/>
            <sz val="8"/>
            <color indexed="81"/>
            <rFont val="Tahoma"/>
            <family val="2"/>
          </rPr>
          <t>retraitement utile pour mieux distinguer les postes financiers des postes d'exploitation au bilan, bien identifier le périmètre réel de la dette financière, et extérioriser les relations de financement refinancement des sociétés ou actionnaires d'un même groupe,</t>
        </r>
      </text>
    </comment>
    <comment ref="C105" authorId="0" shapeId="0" xr:uid="{00000000-0006-0000-0000-000005000000}">
      <text>
        <r>
          <rPr>
            <sz val="8"/>
            <color indexed="81"/>
            <rFont val="Tahoma"/>
            <family val="2"/>
          </rPr>
          <t>impôt (au taux "i") qui résultera de l'imposition des subventions d'investissement et des provisions réglementées après qu'elles auront été reprises au compte de résultats</t>
        </r>
      </text>
    </comment>
    <comment ref="C215" authorId="0" shapeId="0" xr:uid="{00000000-0006-0000-0000-000006000000}">
      <text>
        <r>
          <rPr>
            <sz val="8"/>
            <color indexed="81"/>
            <rFont val="Tahoma"/>
            <family val="2"/>
          </rPr>
          <t>Attention: pour le calcul des plus ou moins-values de cession de titres, la Valeur Comptable des titres de participation cédés est en général, suivant le Plan Comptable, une Valeur Brute (les éventuelles provisions attachées sont reprises au CR). 
Cependant, il arrive que la valeur prise en compte par les entreprises pour ce calcul de plus-value soit une VNC, et que cette VNC soit différente de la VBC (les provisions alors attachées aux titres cédés ne sont pas "reprises" comme elles le devraient au CR mais éliminées dans les "charges excep./opé. en capital"): dans ce cas là, il faut alors saisir une valeur différente en ligne 215 (VNC titres) qu'en ligne 18
8 (VBC titres cédés)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 utilisateur satisfait de Microsoft Office</author>
  </authors>
  <commentList>
    <comment ref="E105" authorId="0" shapeId="0" xr:uid="{00000000-0006-0000-0400-000001000000}">
      <text>
        <r>
          <rPr>
            <sz val="8"/>
            <color indexed="81"/>
            <rFont val="Tahoma"/>
            <family val="2"/>
          </rPr>
          <t>Ce ratio prendra, pour l'exercice précédent, la durée réelle qu'il pourra obtenir à partir d' "Etatsfin". Si "Etatsfin" est incomplète ou bien a été effacée, il prendra par défaut une durée de 365 jours.</t>
        </r>
      </text>
    </comment>
    <comment ref="H113" authorId="0" shapeId="0" xr:uid="{00000000-0006-0000-0400-000002000000}">
      <text>
        <r>
          <rPr>
            <sz val="8"/>
            <color indexed="81"/>
            <rFont val="Tahoma"/>
            <family val="2"/>
          </rPr>
          <t>Par défaut, les Prévisions mettent la "Production immobilisée" à "0"; il est toutefois possible d' "écraser" les cellules pour saisir des montants spécifiques. Le programme tiendra alors compte automatiquement de ces nouvelles données.</t>
        </r>
      </text>
    </comment>
    <comment ref="H114" authorId="0" shapeId="0" xr:uid="{00000000-0006-0000-0400-000003000000}">
      <text>
        <r>
          <rPr>
            <sz val="8"/>
            <color indexed="81"/>
            <rFont val="Tahoma"/>
            <family val="2"/>
          </rPr>
          <t>Par défaut, les Prévisions mettent les "Autres Produits" à "0"; il est toutefois possible d' "écraser" les cellules pour saisir des montants spécifiques. Le programme tiendra alors compte automatiquement de ces nouvelles données.</t>
        </r>
      </text>
    </comment>
  </commentList>
</comments>
</file>

<file path=xl/sharedStrings.xml><?xml version="1.0" encoding="utf-8"?>
<sst xmlns="http://schemas.openxmlformats.org/spreadsheetml/2006/main" count="1364" uniqueCount="1019">
  <si>
    <t xml:space="preserve"> = EBE</t>
  </si>
  <si>
    <t xml:space="preserve"> - Dotations aux amortissements </t>
  </si>
  <si>
    <t xml:space="preserve">  Dot. aux amts sur immo. corp. &amp; inc.    (immo. définies lignes 16 et 25)</t>
  </si>
  <si>
    <t xml:space="preserve"> - Dot. (nettes de reprises) aux prov. d'exploit.</t>
  </si>
  <si>
    <t xml:space="preserve"> = Résultat économique</t>
  </si>
  <si>
    <t xml:space="preserve"> - Frais financiers bruts</t>
  </si>
  <si>
    <r>
      <t xml:space="preserve">Int. &amp; charges assimilés </t>
    </r>
    <r>
      <rPr>
        <sz val="9"/>
        <rFont val="Arial"/>
        <family val="2"/>
      </rPr>
      <t>(stricto sensu)</t>
    </r>
  </si>
  <si>
    <t xml:space="preserve"> - Annuités de crédit-bail</t>
  </si>
  <si>
    <t xml:space="preserve">    Annuités de crédit-bail mobilier</t>
  </si>
  <si>
    <t xml:space="preserve"> + Annuités de crédit-bail immobilier</t>
  </si>
  <si>
    <t xml:space="preserve"> + Produits financiers</t>
  </si>
  <si>
    <t xml:space="preserve">        Produits financ. de participations</t>
  </si>
  <si>
    <t xml:space="preserve"> + Produits des autres VM et créances de l'actif immobilisé</t>
  </si>
  <si>
    <t xml:space="preserve">     + Autres intérêts/pduits assimilés</t>
  </si>
  <si>
    <t xml:space="preserve"> = Résultat courant</t>
  </si>
  <si>
    <t xml:space="preserve"> + Exceptionnel et autres </t>
  </si>
  <si>
    <t xml:space="preserve">          Résultat exceptionnel</t>
  </si>
  <si>
    <t xml:space="preserve">    + Reprises (financier) sur provisions   &amp; Transferts de charges</t>
  </si>
  <si>
    <t xml:space="preserve">      -  Dot. (financier) aux amts et prov.</t>
  </si>
  <si>
    <t xml:space="preserve">      + Produits nets sur cess° de VMP</t>
  </si>
  <si>
    <t xml:space="preserve">      -  Charges nettes sur cess° VMP</t>
  </si>
  <si>
    <t xml:space="preserve">      + Différences positives de change</t>
  </si>
  <si>
    <t xml:space="preserve">      -  Différences négatives de change</t>
  </si>
  <si>
    <t xml:space="preserve">    + Subventions d'exploitat° (non prises en "Autres produits")</t>
  </si>
  <si>
    <t xml:space="preserve">      + Opérations faites en commun</t>
  </si>
  <si>
    <t xml:space="preserve">(Pour comptes consolidés : )                     </t>
  </si>
  <si>
    <t xml:space="preserve">   + Pduits (- charges) d'impôts différés</t>
  </si>
  <si>
    <t xml:space="preserve"> + Quote part des résultats de stés mises en équivalence</t>
  </si>
  <si>
    <t xml:space="preserve">   -  Dotation aux amts de la survaleur</t>
  </si>
  <si>
    <t xml:space="preserve"> - Impôt sur les Sociétés</t>
  </si>
  <si>
    <t xml:space="preserve"> = Résultat Net publié                                                                                   </t>
  </si>
  <si>
    <t>Autres informations à saisir :</t>
  </si>
  <si>
    <r>
      <t xml:space="preserve">  Val. </t>
    </r>
    <r>
      <rPr>
        <u/>
        <sz val="10"/>
        <rFont val="Arial"/>
        <family val="2"/>
      </rPr>
      <t>nette</t>
    </r>
    <r>
      <rPr>
        <sz val="10"/>
        <rFont val="Arial"/>
        <family val="2"/>
      </rPr>
      <t xml:space="preserve"> compt. des immo. d'exploit. cédées</t>
    </r>
  </si>
  <si>
    <r>
      <t xml:space="preserve">  Prix de vente des immo.cédées</t>
    </r>
    <r>
      <rPr>
        <sz val="9"/>
        <rFont val="Arial"/>
        <family val="2"/>
      </rPr>
      <t xml:space="preserve"> </t>
    </r>
    <r>
      <rPr>
        <sz val="8"/>
        <rFont val="Arial"/>
        <family val="2"/>
      </rPr>
      <t xml:space="preserve">(exploit. </t>
    </r>
    <r>
      <rPr>
        <u/>
        <sz val="8"/>
        <rFont val="Arial"/>
        <family val="2"/>
      </rPr>
      <t>et</t>
    </r>
    <r>
      <rPr>
        <sz val="8"/>
        <rFont val="Arial"/>
        <family val="2"/>
      </rPr>
      <t xml:space="preserve"> titres) </t>
    </r>
  </si>
  <si>
    <r>
      <t xml:space="preserve">  Valeur </t>
    </r>
    <r>
      <rPr>
        <u/>
        <sz val="10"/>
        <rFont val="Arial"/>
        <family val="2"/>
      </rPr>
      <t>brute</t>
    </r>
    <r>
      <rPr>
        <sz val="10"/>
        <rFont val="Arial"/>
        <family val="2"/>
      </rPr>
      <t xml:space="preserve"> comptable des titres cédés</t>
    </r>
  </si>
  <si>
    <r>
      <t xml:space="preserve">  Write-off de Goodwill </t>
    </r>
    <r>
      <rPr>
        <sz val="9"/>
        <rFont val="Arial"/>
        <family val="2"/>
      </rPr>
      <t>(saisir un montant positif)</t>
    </r>
  </si>
  <si>
    <t>Autres Charges (+) ou Pduits (-) imputés directement sur les réserves</t>
  </si>
  <si>
    <t xml:space="preserve">  Remboursement de dettes long/moyen terme</t>
  </si>
  <si>
    <t xml:space="preserve">  Annuités &lt;1 an (pour les DLMT)</t>
  </si>
  <si>
    <t>ACTIF BRUT</t>
  </si>
  <si>
    <t>Immos d'Exploitation</t>
  </si>
  <si>
    <t>Autres Immobilisations</t>
  </si>
  <si>
    <t>Actif Circulant</t>
  </si>
  <si>
    <t>TOTAL ACTIF BRUT</t>
  </si>
  <si>
    <t>dont autres immos+actif circulant</t>
  </si>
  <si>
    <t>ACTIF NET</t>
  </si>
  <si>
    <t>TOTAL ACTIF NET</t>
  </si>
  <si>
    <t>V.N.C des immos cédés (a)+(b)</t>
  </si>
  <si>
    <t>VNC des immos d'expl. cédées (a)</t>
  </si>
  <si>
    <t>VNC des titres cédés (b)</t>
  </si>
  <si>
    <t>produits &amp; charges H.E. du tableau de flux</t>
  </si>
  <si>
    <t>Société :</t>
  </si>
  <si>
    <t>Groupe :</t>
  </si>
  <si>
    <t>(Exploitation)</t>
  </si>
  <si>
    <t xml:space="preserve"> Evolution du CA (annualisée)</t>
  </si>
  <si>
    <t xml:space="preserve"> Achats &amp; Sous-traitance / CA</t>
  </si>
  <si>
    <t xml:space="preserve"> Marge commerciale / CA</t>
  </si>
  <si>
    <t xml:space="preserve"> Charges de personnel / CA</t>
  </si>
  <si>
    <t xml:space="preserve"> Autres charges / CA</t>
  </si>
  <si>
    <t xml:space="preserve"> EBE / CA</t>
  </si>
  <si>
    <t>(Rentabilité)</t>
  </si>
  <si>
    <t xml:space="preserve"> Résultat net / CA</t>
  </si>
  <si>
    <t xml:space="preserve"> Résultat net / Fonds Propres</t>
  </si>
  <si>
    <t xml:space="preserve"> Résultat net / Total Actif</t>
  </si>
  <si>
    <r>
      <t xml:space="preserve"> Tx de distrib. dividendes </t>
    </r>
    <r>
      <rPr>
        <sz val="10"/>
        <rFont val="Arial"/>
        <family val="2"/>
      </rPr>
      <t>[=Dividendes au titre de n / RN(n)]</t>
    </r>
  </si>
  <si>
    <t>(Dette)</t>
  </si>
  <si>
    <t xml:space="preserve"> Résultat financier retraité / CA</t>
  </si>
  <si>
    <t xml:space="preserve"> EBE / Résultat fin. retraité</t>
  </si>
  <si>
    <t>MERIPLAST</t>
  </si>
  <si>
    <t>SARL</t>
  </si>
  <si>
    <t>Fiscal</t>
  </si>
  <si>
    <t xml:space="preserve"> EBE - Invest. indust. / Résultat financier retraité</t>
  </si>
  <si>
    <t>OP Annexe 6</t>
  </si>
  <si>
    <t>TV Annexe 7</t>
  </si>
  <si>
    <t>(6P+6U+6Y) Annexe 6</t>
  </si>
  <si>
    <t>OQ Annexe 6+
(TW + 6R+6V+6Z) Annexe 7</t>
  </si>
  <si>
    <t xml:space="preserve">      - Autres</t>
  </si>
  <si>
    <t>GA+GB+GC+GD-FP-Cellules (A149+A151)</t>
  </si>
  <si>
    <r>
      <t xml:space="preserve">value) </t>
    </r>
    <r>
      <rPr>
        <b/>
        <i/>
        <sz val="8"/>
        <rFont val="Arial"/>
        <family val="2"/>
      </rPr>
      <t>du solde "exceptionnel et autres" du CR (ligne 166)</t>
    </r>
  </si>
  <si>
    <r>
      <t xml:space="preserve"> EBE / Service de la dette </t>
    </r>
    <r>
      <rPr>
        <sz val="8"/>
        <rFont val="Arial"/>
        <family val="2"/>
      </rPr>
      <t>(=frais fin.+échéance DLMT+ann.cdt-bail)</t>
    </r>
  </si>
  <si>
    <t xml:space="preserve"> EBE - Invest. indust. / Service de la dette</t>
  </si>
  <si>
    <r>
      <t xml:space="preserve"> CFEN+</t>
    </r>
    <r>
      <rPr>
        <sz val="8"/>
        <rFont val="Arial"/>
        <family val="2"/>
      </rPr>
      <t>(Frais fin.+1/3 Ann.cdt-bail)</t>
    </r>
    <r>
      <rPr>
        <sz val="11"/>
        <rFont val="Arial"/>
        <family val="2"/>
      </rPr>
      <t xml:space="preserve"> - Inv. ind. / Serv. de la dette</t>
    </r>
  </si>
  <si>
    <t xml:space="preserve"> Bénéfice</t>
  </si>
  <si>
    <t xml:space="preserve"> Dettes Fin. Tot. / CFEN (années)</t>
  </si>
  <si>
    <t xml:space="preserve"> CFEN / Service de la dette (yc CB)</t>
  </si>
  <si>
    <t xml:space="preserve"> Fonds de roulement</t>
  </si>
  <si>
    <t xml:space="preserve"> Trésorerie</t>
  </si>
  <si>
    <t xml:space="preserve"> Dettes financières totales / Fonds propres</t>
  </si>
  <si>
    <r>
      <t xml:space="preserve"> Dettes financières totales </t>
    </r>
    <r>
      <rPr>
        <u/>
        <sz val="11"/>
        <rFont val="Arial"/>
        <family val="2"/>
      </rPr>
      <t>nettes</t>
    </r>
    <r>
      <rPr>
        <sz val="11"/>
        <rFont val="Arial"/>
        <family val="2"/>
      </rPr>
      <t xml:space="preserve"> / Fonds propres</t>
    </r>
  </si>
  <si>
    <r>
      <t xml:space="preserve"> Dettes fin. tot. / F. propres</t>
    </r>
    <r>
      <rPr>
        <sz val="9"/>
        <rFont val="Arial"/>
        <family val="2"/>
      </rPr>
      <t xml:space="preserve"> nets d'incorporels (=Gross Gearing)</t>
    </r>
  </si>
  <si>
    <r>
      <t xml:space="preserve"> Dettes fin. tot. </t>
    </r>
    <r>
      <rPr>
        <u/>
        <sz val="11"/>
        <rFont val="Arial"/>
        <family val="2"/>
      </rPr>
      <t>nettes</t>
    </r>
    <r>
      <rPr>
        <sz val="11"/>
        <rFont val="Arial"/>
        <family val="2"/>
      </rPr>
      <t xml:space="preserve"> / F. prop. </t>
    </r>
    <r>
      <rPr>
        <sz val="9"/>
        <rFont val="Arial"/>
        <family val="2"/>
      </rPr>
      <t>nets d'incorporels (=Net Gearing)</t>
    </r>
  </si>
  <si>
    <r>
      <t xml:space="preserve"> Dettes totales / F. prop. </t>
    </r>
    <r>
      <rPr>
        <sz val="9"/>
        <rFont val="Arial"/>
        <family val="2"/>
      </rPr>
      <t>nets d'incorporels (=Leverage)</t>
    </r>
  </si>
  <si>
    <r>
      <t xml:space="preserve"> Dettes financières totales </t>
    </r>
    <r>
      <rPr>
        <u/>
        <sz val="11"/>
        <rFont val="Arial"/>
        <family val="2"/>
      </rPr>
      <t>nettes</t>
    </r>
    <r>
      <rPr>
        <sz val="11"/>
        <rFont val="Arial"/>
        <family val="2"/>
      </rPr>
      <t xml:space="preserve"> / EBE (en années) </t>
    </r>
  </si>
  <si>
    <r>
      <t xml:space="preserve"> Frais fi. / Dette fi. totale moyenne de l'année </t>
    </r>
    <r>
      <rPr>
        <sz val="9"/>
        <rFont val="Arial"/>
        <family val="2"/>
      </rPr>
      <t>(hors cdt-bail)</t>
    </r>
  </si>
  <si>
    <r>
      <t xml:space="preserve"> Ratio "courant" </t>
    </r>
    <r>
      <rPr>
        <sz val="8"/>
        <rFont val="Arial"/>
        <family val="2"/>
      </rPr>
      <t>(Liquidité générale; "Current Ratio") (=Act.circ./Exig.CT)</t>
    </r>
    <r>
      <rPr>
        <sz val="11"/>
        <rFont val="Arial"/>
        <family val="2"/>
      </rPr>
      <t xml:space="preserve"> </t>
    </r>
  </si>
  <si>
    <r>
      <t xml:space="preserve"> Liquidité réduite </t>
    </r>
    <r>
      <rPr>
        <sz val="8"/>
        <rFont val="Arial"/>
        <family val="2"/>
      </rPr>
      <t>("Quick Ratio") [(=Actifs Circulants - Stocks) /Exig.CT]</t>
    </r>
  </si>
  <si>
    <t>(Investissement)</t>
  </si>
  <si>
    <t xml:space="preserve"> Invest. industr. (hors pdtion immob.) / Dot. aux amts</t>
  </si>
  <si>
    <t xml:space="preserve"> Dotation aux amortissements / Immo. d'exploitation brutes</t>
  </si>
  <si>
    <t>(Besoin en fonds de roulement)</t>
  </si>
  <si>
    <t xml:space="preserve"> Crédit fournisseurs  (Jours de CA)</t>
  </si>
  <si>
    <t xml:space="preserve"> BFR (Jours de CA)</t>
  </si>
  <si>
    <t>PAGE 1/1</t>
  </si>
  <si>
    <t xml:space="preserve"> BFR (en Jours de C.A.)</t>
  </si>
  <si>
    <r>
      <t xml:space="preserve">   Résultat net publié (pour consolidé: </t>
    </r>
    <r>
      <rPr>
        <u/>
        <sz val="10"/>
        <rFont val="Arial"/>
        <family val="2"/>
      </rPr>
      <t>part du groupe + part des minor.</t>
    </r>
    <r>
      <rPr>
        <sz val="10"/>
        <rFont val="Arial"/>
        <family val="2"/>
      </rPr>
      <t>)</t>
    </r>
  </si>
  <si>
    <t>- par méthode indirecte (si l'on dispose d'un tableau de flux fourni par l'entreprise): faire la différence entre</t>
  </si>
  <si>
    <t>l'autofinancement "brut" (MBA ou CAF, avant variations de BFR du rapport annuel de l'entreprise) et les autres</t>
  </si>
  <si>
    <r>
      <t xml:space="preserve">postes cash </t>
    </r>
    <r>
      <rPr>
        <i/>
        <sz val="8"/>
        <rFont val="Arial"/>
        <family val="2"/>
      </rPr>
      <t xml:space="preserve">(c'est à dire pour simplifier le "cash-flow d'exploitation brut") de </t>
    </r>
    <r>
      <rPr>
        <b/>
        <i/>
        <sz val="8"/>
        <rFont val="Arial"/>
        <family val="2"/>
      </rPr>
      <t>notre tableau de trésorerie</t>
    </r>
  </si>
  <si>
    <t xml:space="preserve">Unité de compte (MF, MUSD, ...): </t>
  </si>
  <si>
    <t>ETATS  FINANCIERS</t>
  </si>
  <si>
    <t>Date :</t>
  </si>
  <si>
    <t xml:space="preserve">Société : </t>
  </si>
  <si>
    <t>Commissaires aux comptes :</t>
  </si>
  <si>
    <t xml:space="preserve">Consolidé : </t>
  </si>
  <si>
    <t xml:space="preserve">Groupe : </t>
  </si>
  <si>
    <t xml:space="preserve">Audité : </t>
  </si>
  <si>
    <t>A saisir ici</t>
  </si>
  <si>
    <t>Saisie automatisée (même partiellement) ? (o/n):</t>
  </si>
  <si>
    <t>si oui, les contrôles spécifiques sont-ils effectués ? (o/n):</t>
  </si>
  <si>
    <t>(Détermination de la durée du 1er exercice)</t>
  </si>
  <si>
    <t>ACTIF</t>
  </si>
  <si>
    <t>PASSIF</t>
  </si>
  <si>
    <t xml:space="preserve"> Actifs immobilisés ( nets)</t>
  </si>
  <si>
    <t xml:space="preserve"> Fonds  propres</t>
  </si>
  <si>
    <t xml:space="preserve"> Immobilisations d'exploitation brutes</t>
  </si>
  <si>
    <t xml:space="preserve"> Capital</t>
  </si>
  <si>
    <t xml:space="preserve"> - Amortissements et Provisions</t>
  </si>
  <si>
    <t xml:space="preserve"> Réserves</t>
  </si>
  <si>
    <t xml:space="preserve"> Bénéfice après dividendes</t>
  </si>
  <si>
    <t xml:space="preserve"> Intérêts minoritaires</t>
  </si>
  <si>
    <t xml:space="preserve"> =  Immobilisations nettes</t>
  </si>
  <si>
    <t xml:space="preserve">    &lt;dt immo. incorporelles nettes&gt;</t>
  </si>
  <si>
    <t xml:space="preserve"> Prov. risques et charges stables</t>
  </si>
  <si>
    <t xml:space="preserve"> </t>
  </si>
  <si>
    <t xml:space="preserve"> Survaleur/ Goodwill</t>
  </si>
  <si>
    <t xml:space="preserve"> Dettes à long / moyen terme</t>
  </si>
  <si>
    <t xml:space="preserve"> Immobilisations financières nettes</t>
  </si>
  <si>
    <t xml:space="preserve"> Sociétés apparentées</t>
  </si>
  <si>
    <t xml:space="preserve"> Dettes financières</t>
  </si>
  <si>
    <t xml:space="preserve">     &lt;y compris annuités moins d'1 an&gt;</t>
  </si>
  <si>
    <t xml:space="preserve"> Actifs circulants (nets) </t>
  </si>
  <si>
    <t xml:space="preserve"> Stocks</t>
  </si>
  <si>
    <t xml:space="preserve"> Exigibles court terme</t>
  </si>
  <si>
    <t xml:space="preserve">     &lt;dont travaux en cours&gt;</t>
  </si>
  <si>
    <t xml:space="preserve"> Clients</t>
  </si>
  <si>
    <t xml:space="preserve"> Avances et Acomptes reçus</t>
  </si>
  <si>
    <t xml:space="preserve"> Autres créances</t>
  </si>
  <si>
    <t xml:space="preserve"> Fournisseurs</t>
  </si>
  <si>
    <t xml:space="preserve"> Valeurs  mobilières de placement</t>
  </si>
  <si>
    <t xml:space="preserve"> Autres dettes</t>
  </si>
  <si>
    <t xml:space="preserve"> Disponible</t>
  </si>
  <si>
    <t xml:space="preserve">     &lt;dont provisions et dividendes&gt;</t>
  </si>
  <si>
    <t xml:space="preserve"> Concours bancaires de trésorerie</t>
  </si>
  <si>
    <t xml:space="preserve"> (*) Total Actif</t>
  </si>
  <si>
    <t xml:space="preserve"> (*) Total Passif</t>
  </si>
  <si>
    <t xml:space="preserve"> Hors bilan</t>
  </si>
  <si>
    <t xml:space="preserve">  Hors bilan</t>
  </si>
  <si>
    <t xml:space="preserve"> Engagements reçus</t>
  </si>
  <si>
    <t xml:space="preserve">  Effets escomptés non échus</t>
  </si>
  <si>
    <t xml:space="preserve">  Engagements de crédit bail</t>
  </si>
  <si>
    <t xml:space="preserve"> Besoin en fonds de roulement (net)</t>
  </si>
  <si>
    <t xml:space="preserve">  Autres</t>
  </si>
  <si>
    <t xml:space="preserve">COMPTE DE RESULTAT </t>
  </si>
  <si>
    <t xml:space="preserve"> TABLEAU DE FLUX</t>
  </si>
  <si>
    <t xml:space="preserve">  Chiffre d'affaires H.T.</t>
  </si>
  <si>
    <t xml:space="preserve"> Excédent Brut d'Exploitation</t>
  </si>
  <si>
    <t xml:space="preserve"> + Product° stockée et immobilisée</t>
  </si>
  <si>
    <t xml:space="preserve"> + Autres produits</t>
  </si>
  <si>
    <t xml:space="preserve"> - Résultat financier retraité </t>
  </si>
  <si>
    <t xml:space="preserve"> - Impôt sur les sociétés</t>
  </si>
  <si>
    <t xml:space="preserve"> - Participation des salariés</t>
  </si>
  <si>
    <t xml:space="preserve"> - Achats et sous-traitance</t>
  </si>
  <si>
    <t xml:space="preserve"> = Cashflow d'Exploitat° Brut </t>
  </si>
  <si>
    <t xml:space="preserve"> + Variat° des stocks de march.</t>
  </si>
  <si>
    <t>Variation du BFR (brut)</t>
  </si>
  <si>
    <t xml:space="preserve"> =  Marge commerciale</t>
  </si>
  <si>
    <t xml:space="preserve"> - Variation des Stocks (bruts) </t>
  </si>
  <si>
    <t xml:space="preserve"> - Variation des Clients (bruts)</t>
  </si>
  <si>
    <t xml:space="preserve"> + Variation des Fournisseurs</t>
  </si>
  <si>
    <t xml:space="preserve"> - Var. autr. créances+var. autr. dettes</t>
  </si>
  <si>
    <t xml:space="preserve"> =  EBE</t>
  </si>
  <si>
    <t xml:space="preserve"> - Investissement industriel</t>
  </si>
  <si>
    <t xml:space="preserve"> Investissement industriel</t>
  </si>
  <si>
    <t xml:space="preserve"> = Cashflow d'Exploitation Net (CFEN)</t>
  </si>
  <si>
    <t xml:space="preserve"> - Remboursement Dette MLT</t>
  </si>
  <si>
    <t xml:space="preserve"> - Part en capital de l'annuité de crédit-bail </t>
  </si>
  <si>
    <t xml:space="preserve"> - Part en capital de l'annuité de crédit-bail</t>
  </si>
  <si>
    <t>Saisir un nom  ex Dette 1</t>
  </si>
  <si>
    <t>Saisir un nom  ex Dette 2</t>
  </si>
  <si>
    <t>Saisir un nom  ex Dette 3</t>
  </si>
  <si>
    <t>Saisir un nom  ex Dette 4</t>
  </si>
  <si>
    <r>
      <t xml:space="preserve"> Mge Commerc. / CA  </t>
    </r>
    <r>
      <rPr>
        <i/>
        <sz val="9"/>
        <rFont val="Arial"/>
        <family val="2"/>
      </rPr>
      <t>(Rappel)</t>
    </r>
  </si>
  <si>
    <r>
      <t xml:space="preserve"> EBE / CA  </t>
    </r>
    <r>
      <rPr>
        <i/>
        <sz val="9"/>
        <rFont val="Arial"/>
        <family val="2"/>
      </rPr>
      <t>(Rappel)</t>
    </r>
  </si>
  <si>
    <t>DT</t>
  </si>
  <si>
    <t xml:space="preserve"> Provis. Pour risques et charges stables  </t>
  </si>
  <si>
    <t>dans DR : part stable</t>
  </si>
  <si>
    <t>dans DR : part non stable</t>
  </si>
  <si>
    <t>VK Annexe 8</t>
  </si>
  <si>
    <t>Part &lt; 1an de YG, YH et 8A dans Annexe 8</t>
  </si>
  <si>
    <t>KF</t>
  </si>
  <si>
    <t xml:space="preserve"> Dettes Fin. MLT / Fonds Propres (%)</t>
  </si>
  <si>
    <t xml:space="preserve"> Dettes Fin. Tot. / Fonds Propres (%)</t>
  </si>
  <si>
    <t xml:space="preserve"> Dettes Fin. Tot. Nettes / Fonds Propres (%)</t>
  </si>
  <si>
    <r>
      <t xml:space="preserve"> -  Groupe et associés </t>
    </r>
    <r>
      <rPr>
        <sz val="8"/>
        <rFont val="Arial"/>
        <family val="2"/>
      </rPr>
      <t>(si inclus dans les lignes 99 à 107 =&gt; pour reclassement ligne 109)</t>
    </r>
  </si>
  <si>
    <r>
      <t xml:space="preserve">   + Autres dettes </t>
    </r>
    <r>
      <rPr>
        <sz val="8"/>
        <rFont val="Arial"/>
        <family val="2"/>
      </rPr>
      <t xml:space="preserve">(hors dettes </t>
    </r>
    <r>
      <rPr>
        <i/>
        <sz val="8"/>
        <rFont val="Arial"/>
        <family val="2"/>
      </rPr>
      <t>Groupe &amp; associés</t>
    </r>
    <r>
      <rPr>
        <sz val="8"/>
        <rFont val="Arial"/>
        <family val="2"/>
      </rPr>
      <t xml:space="preserve"> à reclasser ligne 109)</t>
    </r>
  </si>
  <si>
    <t>fiscal</t>
  </si>
  <si>
    <t xml:space="preserve"> - Investissements industriels</t>
  </si>
  <si>
    <t xml:space="preserve"> + Participation des Salariés</t>
  </si>
  <si>
    <t>Référence Liasse Fiscale</t>
  </si>
  <si>
    <t>AB</t>
  </si>
  <si>
    <t>CM</t>
  </si>
  <si>
    <t>CL</t>
  </si>
  <si>
    <t>AD+AF+AH+AJ+AL</t>
  </si>
  <si>
    <t>AC+AE+AG+AI+AK+AM</t>
  </si>
  <si>
    <t>AN+AP+AR+AT+AV+AX</t>
  </si>
  <si>
    <t>AO+AQ+AS+AU+AW+AY</t>
  </si>
  <si>
    <t>CS+CU</t>
  </si>
  <si>
    <t>BD</t>
  </si>
  <si>
    <t>BF</t>
  </si>
  <si>
    <t>BB</t>
  </si>
  <si>
    <t>BH</t>
  </si>
  <si>
    <t>BG</t>
  </si>
  <si>
    <t>BI</t>
  </si>
  <si>
    <t>CT+CV</t>
  </si>
  <si>
    <t>BE</t>
  </si>
  <si>
    <t>VC</t>
  </si>
  <si>
    <t>BC</t>
  </si>
  <si>
    <t>BL</t>
  </si>
  <si>
    <t>BT</t>
  </si>
  <si>
    <t>BR</t>
  </si>
  <si>
    <t>BM</t>
  </si>
  <si>
    <t>BU</t>
  </si>
  <si>
    <t>BS</t>
  </si>
  <si>
    <t>BN+BP</t>
  </si>
  <si>
    <t>BO+BQ</t>
  </si>
  <si>
    <t>BX</t>
  </si>
  <si>
    <t>BY</t>
  </si>
  <si>
    <t>BV-BW</t>
  </si>
  <si>
    <t>BZ</t>
  </si>
  <si>
    <t>CA</t>
  </si>
  <si>
    <t>CH</t>
  </si>
  <si>
    <t>CN</t>
  </si>
  <si>
    <t>VC Annexe 8</t>
  </si>
  <si>
    <t>CD</t>
  </si>
  <si>
    <t>CE</t>
  </si>
  <si>
    <t>CF</t>
  </si>
  <si>
    <t>AA</t>
  </si>
  <si>
    <t>DA</t>
  </si>
  <si>
    <t>DB</t>
  </si>
  <si>
    <t>DH</t>
  </si>
  <si>
    <t>DC+DD+DE+DF+DG</t>
  </si>
  <si>
    <t>DI</t>
  </si>
  <si>
    <t>DJ+DK</t>
  </si>
  <si>
    <t>DS</t>
  </si>
  <si>
    <t>DU</t>
  </si>
  <si>
    <t>DV</t>
  </si>
  <si>
    <t>EH</t>
  </si>
  <si>
    <t>VI Annexe 8</t>
  </si>
  <si>
    <t>DN</t>
  </si>
  <si>
    <t>DM</t>
  </si>
  <si>
    <t>DW</t>
  </si>
  <si>
    <t>DX</t>
  </si>
  <si>
    <t>DY</t>
  </si>
  <si>
    <t>EB</t>
  </si>
  <si>
    <t>(1-i) Subv. d'investiss. + prov. réglem.</t>
  </si>
  <si>
    <t>DZ</t>
  </si>
  <si>
    <t>EA</t>
  </si>
  <si>
    <t>ED</t>
  </si>
  <si>
    <t>A79</t>
  </si>
  <si>
    <t>YS Annexe 11</t>
  </si>
  <si>
    <t>YQ+YR Annexe 11</t>
  </si>
  <si>
    <t>FL</t>
  </si>
  <si>
    <t>FM</t>
  </si>
  <si>
    <t>FN</t>
  </si>
  <si>
    <t>FQ</t>
  </si>
  <si>
    <t>FS</t>
  </si>
  <si>
    <t>FU</t>
  </si>
  <si>
    <t>YT Annexe 11</t>
  </si>
  <si>
    <t>FT</t>
  </si>
  <si>
    <t>FY</t>
  </si>
  <si>
    <t>FZ</t>
  </si>
  <si>
    <t>YU Annexe 11</t>
  </si>
  <si>
    <t>SS Annexe 11</t>
  </si>
  <si>
    <t>HJ</t>
  </si>
  <si>
    <t>A128</t>
  </si>
  <si>
    <t>A136</t>
  </si>
  <si>
    <t>A137</t>
  </si>
  <si>
    <t>GE</t>
  </si>
  <si>
    <t>FX</t>
  </si>
  <si>
    <t>GR</t>
  </si>
  <si>
    <t>HQ</t>
  </si>
  <si>
    <t>GJ</t>
  </si>
  <si>
    <t>GK</t>
  </si>
  <si>
    <t>GL</t>
  </si>
  <si>
    <t>HI</t>
  </si>
  <si>
    <t>GM</t>
  </si>
  <si>
    <t>GQ</t>
  </si>
  <si>
    <t>GO</t>
  </si>
  <si>
    <t>GT</t>
  </si>
  <si>
    <t>GN</t>
  </si>
  <si>
    <t>GS</t>
  </si>
  <si>
    <t>GH-GI</t>
  </si>
  <si>
    <t xml:space="preserve"> - Dotation aux amortissements</t>
  </si>
  <si>
    <t xml:space="preserve"> - Dotat° nette aux provis° d'exploitat°</t>
  </si>
  <si>
    <t xml:space="preserve"> - Investissements financiers</t>
  </si>
  <si>
    <t xml:space="preserve"> + Cessions d'actifs</t>
  </si>
  <si>
    <t xml:space="preserve"> =  Résultat économique</t>
  </si>
  <si>
    <t xml:space="preserve"> = Cashflow Disponible </t>
  </si>
  <si>
    <t xml:space="preserve"> + Variation des Dettes MLT</t>
  </si>
  <si>
    <t xml:space="preserve"> + Variat° des Dettes financ. CT</t>
  </si>
  <si>
    <t xml:space="preserve"> -  Dividendes payés dans l'année</t>
  </si>
  <si>
    <t xml:space="preserve"> + Exceptionnel et autres</t>
  </si>
  <si>
    <t xml:space="preserve"> + Augmentation de capital</t>
  </si>
  <si>
    <t xml:space="preserve">    (y. c. transferts de charges)</t>
  </si>
  <si>
    <t xml:space="preserve"> + Produits &amp; charges hors exploitation</t>
  </si>
  <si>
    <t>vérification de l'ajustement (% CA)</t>
  </si>
  <si>
    <t xml:space="preserve"> -  Impôt sur les sociétés</t>
  </si>
  <si>
    <t xml:space="preserve"> + Ajustement</t>
  </si>
  <si>
    <t xml:space="preserve"> = Résultat net publié</t>
  </si>
  <si>
    <t xml:space="preserve"> = Variation des liquidités</t>
  </si>
  <si>
    <t xml:space="preserve"> RATIOS</t>
  </si>
  <si>
    <t xml:space="preserve"> RATIOS (suite)</t>
  </si>
  <si>
    <t xml:space="preserve"> Marge commerciale / C.A. (%)</t>
  </si>
  <si>
    <t xml:space="preserve"> EBE / C.A. (%)</t>
  </si>
  <si>
    <t xml:space="preserve"> Rotation des stocks  (J. de C.A.)</t>
  </si>
  <si>
    <t xml:space="preserve"> Résultat net / Fonds Propres (%)</t>
  </si>
  <si>
    <t xml:space="preserve"> Délais clients  (J. de C.A.)</t>
  </si>
  <si>
    <t xml:space="preserve"> Crédit fournisseurs  (J. d'achats)</t>
  </si>
  <si>
    <t>(*) Total du bilan actif &amp; passif = Total du bilan publié - amortissements dérogatoires - capital non appelé ou non versé</t>
  </si>
  <si>
    <t xml:space="preserve"> N.B.: Résultat financier retraité = Charges financières - Produits financiers + 1/3 de l'annuité de crédit-bail  </t>
  </si>
  <si>
    <t>Zone réservée.</t>
  </si>
  <si>
    <t>Voulez-vous des hypothèses plus détaillées que ci-dessous ? (O / N) :</t>
  </si>
  <si>
    <t xml:space="preserve"> (En l'absence de saisie "O" ou "N",</t>
  </si>
  <si>
    <t>Ne rien modifier.</t>
  </si>
  <si>
    <t>(Pour des explications, cliquer le "bouton de dégroupage" ci-dessous à gauche)</t>
  </si>
  <si>
    <t xml:space="preserve">   la réponse par défaut est "N")</t>
  </si>
  <si>
    <t xml:space="preserve">   a) En cas de réponse négative à la question ci-dessus, l'utilisateur saisit ses hypothèses dans les cellules de</t>
  </si>
  <si>
    <t xml:space="preserve">cette Feuille "Hypo", sans aucune autre action particulière. </t>
  </si>
  <si>
    <t xml:space="preserve">   b) En cas de réponse positive, l'utilisateur doit saisir 8 postes d'hypothèses (CA, Marge Commerciale, Frais de</t>
  </si>
  <si>
    <t>personnel, Autres charges, et EBE, ainsi que Nouveaux Emprunts à MLT, Rembts de DLMT et Investissements</t>
  </si>
  <si>
    <t>dégroupage" (à gauche, bord du cadre). S'il ne veut pas détailler l'un de ces 8 postes, il devra quand même saisir</t>
  </si>
  <si>
    <t xml:space="preserve">   Il convient d'ailleurs de noter que l'utilisateur peut ajouter ou retirer autant de lignes de détails qu'il souhaite dans</t>
  </si>
  <si>
    <t>ces 8 postes, si et seulement si il en "insère" ou en "supprime" entre la première ligne et la dernière ligne</t>
  </si>
  <si>
    <t>existantes. (Dans ce cas, Excel met en effet automatiquement à jour tout ce qui est nécessaire.)</t>
  </si>
  <si>
    <t xml:space="preserve">   Pour l'impression et l'affichage, l'utilisateur peut, toujours grâce aux "boutons", imprimer et/ou masquer ce qu'il</t>
  </si>
  <si>
    <t xml:space="preserve">souhaite : il lui incombe de régler les paramètres qui lui conviennent, puisqu' il n'a pas choisi l'option par défaut. </t>
  </si>
  <si>
    <t>Commentaires</t>
  </si>
  <si>
    <t>"exceptionnel et autres" du CR (ligne 166 ci-dessus).</t>
  </si>
  <si>
    <t>son calcul automatique, ligne 218, se base essentiellement  sur l'élimination des postes non cash de ce solde</t>
  </si>
  <si>
    <t>Date:</t>
  </si>
  <si>
    <t xml:space="preserve"> Société :</t>
  </si>
  <si>
    <t xml:space="preserve"> Groupe :</t>
  </si>
  <si>
    <t>Scénario :</t>
  </si>
  <si>
    <t xml:space="preserve"> Hypothèses retenues :</t>
  </si>
  <si>
    <t>(en %)</t>
  </si>
  <si>
    <t>(calculé)</t>
  </si>
  <si>
    <t xml:space="preserve"> Dotation aux amortiss. / Immo. d'exploitation brutes</t>
  </si>
  <si>
    <t xml:space="preserve"> Produits financiers / VMP et Disponible moyens de l'année</t>
  </si>
  <si>
    <t xml:space="preserve"> Elémts de haut-de-bil. :</t>
  </si>
  <si>
    <t xml:space="preserve"> Invest. industr. (hors pduct° immobilisée)</t>
  </si>
  <si>
    <t xml:space="preserve"> Nouveaux Emprunts à LMT</t>
  </si>
  <si>
    <t xml:space="preserve"> Remboursement de DLMT</t>
  </si>
  <si>
    <t xml:space="preserve"> Nouveau Crédit-bail</t>
  </si>
  <si>
    <t xml:space="preserve"> Annuités de crédit-bail</t>
  </si>
  <si>
    <t>(en Jours)</t>
  </si>
  <si>
    <t xml:space="preserve"> Rotation des stocks  (J. de CA)</t>
  </si>
  <si>
    <t xml:space="preserve"> Délais clients hors EENE (J. de CA)</t>
  </si>
  <si>
    <t xml:space="preserve"> Autres créances (exprimées en J. de CA)</t>
  </si>
  <si>
    <t xml:space="preserve"> Crédit Fournisseurs (exprimé en J. d' Achats)</t>
  </si>
  <si>
    <t xml:space="preserve"> Avances et acomptes reçus (exprimés en J. de CA)</t>
  </si>
  <si>
    <t xml:space="preserve"> Eléments spécif. / exceptionnels :</t>
  </si>
  <si>
    <t xml:space="preserve"> Investissements financiers (Goodwill, Stés appar., Immo. fin.)</t>
  </si>
  <si>
    <t xml:space="preserve"> Prix de cession des actifs (Immo.d'expl. et Titres)</t>
  </si>
  <si>
    <t xml:space="preserve">    A saisir à titre d'info pour l'historique</t>
  </si>
  <si>
    <t xml:space="preserve"> Valeur brute comptable des immo. d'exploitation cédées</t>
  </si>
  <si>
    <t xml:space="preserve"> Valeur nette comptable des immo. d'exploitation cédées</t>
  </si>
  <si>
    <t xml:space="preserve">              A saisir le cas échéant</t>
  </si>
  <si>
    <t xml:space="preserve"> Valeur nette comptable des titres cédés</t>
  </si>
  <si>
    <t xml:space="preserve"> Dotat° nette aux prov. risques et charges non stables</t>
  </si>
  <si>
    <t xml:space="preserve"> Dotat° nette aux prov. risques et charges stables</t>
  </si>
  <si>
    <t xml:space="preserve"> Dotation aux amortissements du Goodwill (Survaleur)</t>
  </si>
  <si>
    <t xml:space="preserve"> Dotation aux amortissements du Goodwill (survaleur)</t>
  </si>
  <si>
    <t xml:space="preserve"> Participation des salariés</t>
  </si>
  <si>
    <t xml:space="preserve"> Autres produits ( - charges) "cash" hors exploitation</t>
  </si>
  <si>
    <t xml:space="preserve"> Acomptes sur dividend. versés éventuellemnt l'année "G"</t>
  </si>
  <si>
    <t xml:space="preserve"> Acomptes sur dividend. versés éventuellement l'année "G"</t>
  </si>
  <si>
    <t xml:space="preserve"> Effets escomptés non échus (exprimés en J. de CA)</t>
  </si>
  <si>
    <t xml:space="preserve"> VMP &amp; Disponible (Pour les années de Prévisions, il s'agit du niveau minimum souhaité)</t>
  </si>
  <si>
    <t xml:space="preserve"> NB : Pour chaque année de Prévision, en ce qui concerne les "VMP &amp; Disponible" :</t>
  </si>
  <si>
    <t xml:space="preserve"> a) soit le niveau minimum de "VMP &amp; Disponible" ci-dessus a été saisi pour "0", et :</t>
  </si>
  <si>
    <t xml:space="preserve">                (i) le programme affectera automatiquement les liquidités éventuellement dégagées pendant l'année au</t>
  </si>
  <si>
    <t xml:space="preserve">                    remboursement des "Concours bancaires de trésorerie" à due concurrence, </t>
  </si>
  <si>
    <t xml:space="preserve">                    pendant l'année par une augmentation des "Concours bancaires de trésorerie" à due concurrence. </t>
  </si>
  <si>
    <t xml:space="preserve"> b) soit ce niveau minimum de "VMP &amp; Disponible" ci-dessus a été laissé intact (par rapport aux</t>
  </si>
  <si>
    <t>moyennes proposées) ou bien saisi pour un montant non nul, et :</t>
  </si>
  <si>
    <t xml:space="preserve">    ... le programme raisonnera comme ci-dessus en a), mais respectera ce "volume d'encaisse minima" fixé par</t>
  </si>
  <si>
    <t xml:space="preserve">        l'utilisateur (le programme ira par exemple automatiquement augmenter les "Concours bancaires de trésorerie"</t>
  </si>
  <si>
    <t xml:space="preserve">        pour constituer ou compléter ce volume d'encaisse).</t>
  </si>
  <si>
    <t xml:space="preserve">   Dans tous les cas ci-dessus, le programme tient compte automatiquement des Frais financiers</t>
  </si>
  <si>
    <t>et/ou Produits financiers -ainsi que de l'impact de l'IS et des Dividendes- générés par la situation</t>
  </si>
  <si>
    <t>qu'il traite (et, bien sûr, sur la base des taux respectifs fixés par l'utilisateur pour l'année</t>
  </si>
  <si>
    <t xml:space="preserve">considérée).  </t>
  </si>
  <si>
    <t xml:space="preserve"> CA :</t>
  </si>
  <si>
    <t>CA :</t>
  </si>
  <si>
    <t>EBE :</t>
  </si>
  <si>
    <t>Dettes financières totales :</t>
  </si>
  <si>
    <t>Croissance du CA (%) :</t>
  </si>
  <si>
    <t>EBE / CA (%) :</t>
  </si>
  <si>
    <t>EBE / Résultat financier retraité (%) :</t>
  </si>
  <si>
    <t>Dettes financières totales / EBE (années) :</t>
  </si>
  <si>
    <t>Dettes financières totales CFEN (années) :</t>
  </si>
  <si>
    <t>Investissement industriel :</t>
  </si>
  <si>
    <t>Rotation des stocks (J. de CA) :</t>
  </si>
  <si>
    <t>Délais clients  (J. de C.A.) :</t>
  </si>
  <si>
    <t>Crédit fournisseurs  (J. d'achats) :</t>
  </si>
  <si>
    <t>Idem ligne ci-dessous, mais info venant de ''Hypo'' :</t>
  </si>
  <si>
    <t xml:space="preserve">(Ces reprises permettent de tenir compte d'un écrasement éventuel des cellules E/F/G 63 dans ''Hypo'') </t>
  </si>
  <si>
    <t>Frais fi. / Dette fi. tot. moyenne de l'année (hors cdt-bail) :</t>
  </si>
  <si>
    <t xml:space="preserve">Frais fi. / Dette fi. tot. moy. de l'année (hors cdt-bail) : </t>
  </si>
  <si>
    <t xml:space="preserve"> Taux d'IS (= IS / Résultat avant IS) :</t>
  </si>
  <si>
    <t>Taux d'IS (= IS / Résultat avant IS) :</t>
  </si>
  <si>
    <t>Unité de compte :</t>
  </si>
  <si>
    <t>Historique</t>
  </si>
  <si>
    <t>Prévisions</t>
  </si>
  <si>
    <t xml:space="preserve"> Bilan :</t>
  </si>
  <si>
    <t>Zone réservée (durée des exercices).</t>
  </si>
  <si>
    <t>Changement format dates pour graphiques</t>
  </si>
  <si>
    <t xml:space="preserve"> Actifs immobilisés (nets)</t>
  </si>
  <si>
    <t xml:space="preserve"> = Immobilisations d'exploitation nettes</t>
  </si>
  <si>
    <t xml:space="preserve">    (dont immobilisations d'expl. incorporelles nettes)</t>
  </si>
  <si>
    <t xml:space="preserve"> Immobilisat. hors expl. nettes (Goodw./Stés appar./Immo. fin.)</t>
  </si>
  <si>
    <t>Détail de 100% des Immobilisations hors exploitat° nettes</t>
  </si>
  <si>
    <t>Survaleur/ Goodwill</t>
  </si>
  <si>
    <t>Sociétés apparentées</t>
  </si>
  <si>
    <t>Titres (de stés non consolidées en intégration globale)</t>
  </si>
  <si>
    <t>Autres Immo. Financières</t>
  </si>
  <si>
    <t xml:space="preserve"> Actifs circulants (nets)</t>
  </si>
  <si>
    <t xml:space="preserve"> VMP et Disponible</t>
  </si>
  <si>
    <t xml:space="preserve"> Total Actif</t>
  </si>
  <si>
    <t xml:space="preserve"> Fonds propres</t>
  </si>
  <si>
    <t xml:space="preserve"> Capital + Réserves</t>
  </si>
  <si>
    <t xml:space="preserve"> Provisions risques et charges stables</t>
  </si>
  <si>
    <t>Détail de tout ou partie des DLMT</t>
  </si>
  <si>
    <t>Nouvelles Dettes à LMT :</t>
  </si>
  <si>
    <t>Zone vide</t>
  </si>
  <si>
    <t>Anciennes Dettes à LMT :</t>
  </si>
  <si>
    <t>A saisir</t>
  </si>
  <si>
    <t xml:space="preserve"> Avances et acomptes reçus</t>
  </si>
  <si>
    <t xml:space="preserve">      &lt;dont provisions et dividendes&gt;</t>
  </si>
  <si>
    <t xml:space="preserve"> Total Passif</t>
  </si>
  <si>
    <t xml:space="preserve"> Besoin en fonds de roulement (net et hors EENE)</t>
  </si>
  <si>
    <t xml:space="preserve"> Effets escomptés non échus</t>
  </si>
  <si>
    <t xml:space="preserve"> Engagements de crédit-bail</t>
  </si>
  <si>
    <t>PAGE 1/4</t>
  </si>
  <si>
    <t xml:space="preserve">Contrôle Actif =? Passif </t>
  </si>
  <si>
    <t>Calcul de la Trésorerie Nette positive</t>
  </si>
  <si>
    <t>(Merci de ne rien modifier dans les zones grises de droite et de gauche, réservées à des calculs intermédiaires.</t>
  </si>
  <si>
    <t>Calcul de la Trésorerie Nette négative</t>
  </si>
  <si>
    <t>Ces zones ne seront pas imprimées)</t>
  </si>
  <si>
    <t xml:space="preserve"> Chiffre d'affaires H.T.</t>
  </si>
  <si>
    <t xml:space="preserve"> (Evolution du CA, annualisée, en %)</t>
  </si>
  <si>
    <t xml:space="preserve">   Décomposition de 100% du CA :</t>
  </si>
  <si>
    <t xml:space="preserve">     - CA sur ... (tel pays, ou telle Division)</t>
  </si>
  <si>
    <t xml:space="preserve"> + Variation des stocks</t>
  </si>
  <si>
    <t xml:space="preserve">  (en % du CA)</t>
  </si>
  <si>
    <t xml:space="preserve">     (en % du CA)</t>
  </si>
  <si>
    <t xml:space="preserve">   Décomposit° de 100% de la Marge Commerc. :</t>
  </si>
  <si>
    <t xml:space="preserve">     - Marge sur ... (tel pays, ou telle Division)</t>
  </si>
  <si>
    <t xml:space="preserve"> - Charges de personnel - Autres charges</t>
  </si>
  <si>
    <t xml:space="preserve">   Décomposition de 100% du total Charges de personnel et Autres charges :</t>
  </si>
  <si>
    <t xml:space="preserve">     - Charges de personnel (telle catégorie...)</t>
  </si>
  <si>
    <t xml:space="preserve">     - Autres charges (telle catégorie...)</t>
  </si>
  <si>
    <t xml:space="preserve">   Décomposition de 100% de l'EBE :</t>
  </si>
  <si>
    <t xml:space="preserve">     - EBE sur ... (tel pays, ou telle Division)</t>
  </si>
  <si>
    <t xml:space="preserve"> - Dotation nette aux provisions d'exploitation</t>
  </si>
  <si>
    <t xml:space="preserve"> - Dotation aux amortissements du Goodwill (Survaleur) </t>
  </si>
  <si>
    <t xml:space="preserve"> +/- Plus (moins) - value sur cession d'actifs  </t>
  </si>
  <si>
    <t xml:space="preserve"> + Autres produits ( - charges) "cash" hors exploitation</t>
  </si>
  <si>
    <t xml:space="preserve"> + Divers "non-cash" (exploitation ou hors exploitation)</t>
  </si>
  <si>
    <t>PAGE 2/4</t>
  </si>
  <si>
    <t xml:space="preserve"> Résultat (avant IS et report déficitaire) de (n) </t>
  </si>
  <si>
    <t xml:space="preserve"> Existence de report déficitaire en (n-1) : oui=1 et non=0</t>
  </si>
  <si>
    <t xml:space="preserve"> Résultat (avant IS) de (n), mais après report déficitaire de (n-1) </t>
  </si>
  <si>
    <t xml:space="preserve"> Report fiscal déficitaire pour le futur (à modifier évent. pour la dernière année de l'historique dans la case jaune)</t>
  </si>
  <si>
    <t xml:space="preserve"> Report déficitaire de (n) pour le futur (à modifier évent. pour la dernière année de l'historique)</t>
  </si>
  <si>
    <t>(Les 4 lignes ci-dessus ne seront pas imprimées)</t>
  </si>
  <si>
    <t xml:space="preserve"> Estimation du Résultat avant IS et report déficitaire</t>
  </si>
  <si>
    <t>Estimat° n°1 du RN (hors Frais financ. résolus par itérat°)</t>
  </si>
  <si>
    <t>Merci de ne rien modifier dans cette zone qui est réservée à des calculs intermédiaires d'itération. Celle-ci ne sera pas imprimée.</t>
  </si>
  <si>
    <t>Estimat° n°1 du RN (hors Frais financ. résolus par itération)</t>
  </si>
  <si>
    <t>Estimat° n°2 du RN (avec Frais financ. résolus par itération)</t>
  </si>
  <si>
    <t>Estimat° n°3 du RN (avec Frais financ. résolus par itération)</t>
  </si>
  <si>
    <t>Estimat° n°4 du RN (avec Frais financ. résolus par itération)</t>
  </si>
  <si>
    <t xml:space="preserve"> Estimation n°1 de la Trésorerie Nette</t>
  </si>
  <si>
    <t xml:space="preserve"> Estimation n°2 de la Trésorerie Nette</t>
  </si>
  <si>
    <t xml:space="preserve"> Estimation n°3 de la Trésorerie Nette</t>
  </si>
  <si>
    <t xml:space="preserve"> Estimation n°4 de la Trésorerie Nette</t>
  </si>
  <si>
    <t xml:space="preserve"> Estimation n°1 des Frais financiers</t>
  </si>
  <si>
    <t xml:space="preserve"> Estimation n°2 des Frais financiers</t>
  </si>
  <si>
    <t xml:space="preserve"> Estimation n°3 des Frais financiers</t>
  </si>
  <si>
    <t xml:space="preserve"> Estimation n°1 des Produits financiers</t>
  </si>
  <si>
    <t xml:space="preserve"> Estimation n°2 des Produits financiers</t>
  </si>
  <si>
    <r>
      <t xml:space="preserve">    Impôts courants/exigibles </t>
    </r>
    <r>
      <rPr>
        <u/>
        <sz val="10"/>
        <rFont val="Arial"/>
        <family val="2"/>
      </rPr>
      <t>(hors impôt différé)</t>
    </r>
  </si>
  <si>
    <t xml:space="preserve"> Estimation n°3 des Produits financiers</t>
  </si>
  <si>
    <t xml:space="preserve">    Test sur TN2 pour niveau minimum de cash et VMP</t>
  </si>
  <si>
    <t xml:space="preserve">    Test sur TN2 positive ou non</t>
  </si>
  <si>
    <t xml:space="preserve">    Estimat° n°1 Concours banc. courants additionn. et VMP et Disponible additionnels </t>
  </si>
  <si>
    <t xml:space="preserve">    Estimat° n°1 Concours banc. courants additionn. et VMP et Dispo. additionnels </t>
  </si>
  <si>
    <t xml:space="preserve">    Test sur TN3 pour niveau minimum de cash et VMP</t>
  </si>
  <si>
    <t xml:space="preserve">    Test sur TN3 positive ou non</t>
  </si>
  <si>
    <t xml:space="preserve">    Estimat° n°2 Concours banc. courants additionn. et VMP et Disponible additionnels </t>
  </si>
  <si>
    <t xml:space="preserve">    Estimat° n°2 Concours banc. courants additionn. et VMP et Dispo. additionnels </t>
  </si>
  <si>
    <t xml:space="preserve">    Test sur TN4 pour niveau minimum de cash et VMP</t>
  </si>
  <si>
    <t xml:space="preserve"> - Remboursement dettes MLT</t>
  </si>
  <si>
    <t xml:space="preserve"> + Autres variations de Fonds Propres</t>
  </si>
  <si>
    <t xml:space="preserve"> Investissements industriels / Dot. aux amts</t>
  </si>
  <si>
    <t xml:space="preserve">    Test sur TN4 positive ou non</t>
  </si>
  <si>
    <t xml:space="preserve">    Estimat° n°3 Concours banc. courants additionn. et VMP et Disponible additionnels </t>
  </si>
  <si>
    <t xml:space="preserve">    Estimat° n°3 Concours banc. courants additionn. et VMP et Dispo. additionnels </t>
  </si>
  <si>
    <t xml:space="preserve"> = Cashflow d'Exploitation Brut </t>
  </si>
  <si>
    <t>Variation du BFR (brut pour Historique)</t>
  </si>
  <si>
    <t xml:space="preserve"> - Variation des Stocks</t>
  </si>
  <si>
    <t xml:space="preserve"> - Variation des Clients (y/c EENE)</t>
  </si>
  <si>
    <t xml:space="preserve"> - Variation autres créances + variation autres dettes</t>
  </si>
  <si>
    <t xml:space="preserve"> - (+) Variation autres créances (dettes) d'exploitation</t>
  </si>
  <si>
    <t xml:space="preserve"> = Cashflow d'Exploitation Net </t>
  </si>
  <si>
    <t>Merci de ne rien modifier.</t>
  </si>
  <si>
    <t xml:space="preserve"> - Investissement industriel hors production immobilisée </t>
  </si>
  <si>
    <t>(Conversion des "" en 0 ):</t>
  </si>
  <si>
    <t>(Comptage des lignes ) :</t>
  </si>
  <si>
    <t xml:space="preserve">Détail de 100% des investissements financiers : </t>
  </si>
  <si>
    <t>Variation du Goodwill brut (hors write-off)</t>
  </si>
  <si>
    <t>Variation des Sociétés apparentées</t>
  </si>
  <si>
    <t>Variation d'autres Immo. Financières</t>
  </si>
  <si>
    <t xml:space="preserve"> + Cessions d'actifs (Immo.d'exploitation et Titres)</t>
  </si>
  <si>
    <t xml:space="preserve">  &lt;dont remboursement dettes MLT&gt;</t>
  </si>
  <si>
    <t>Détail de 100% des mouvements de DLMT :</t>
  </si>
  <si>
    <t xml:space="preserve"> Nouveaux Emprunts à LMT :</t>
  </si>
  <si>
    <t>Saisir un nom</t>
  </si>
  <si>
    <t xml:space="preserve"> Variations d' ''anciennes DLMT'' :</t>
  </si>
  <si>
    <t>Autres ''anciennes DLMT''</t>
  </si>
  <si>
    <t xml:space="preserve"> + Variation des Dettes financières CT (y/c EENE)</t>
  </si>
  <si>
    <t xml:space="preserve"> : Dividendes de (n+7) à verser en (n+8)</t>
  </si>
  <si>
    <t xml:space="preserve"> + Produits et charges hors exploit.</t>
  </si>
  <si>
    <t xml:space="preserve"> + Produits et charges hors exploitation</t>
  </si>
  <si>
    <t>PAGE 3/4</t>
  </si>
  <si>
    <t xml:space="preserve"> CA / Total Actif (X)</t>
  </si>
  <si>
    <t xml:space="preserve"> Total Actif / Fonds Propres (X)</t>
  </si>
  <si>
    <t xml:space="preserve"> EBE / Résultat financier retraité</t>
  </si>
  <si>
    <t xml:space="preserve"> CFEN+(Frais fin.+1/3 Ann.cdt-bail) - Inv. indust. / Serv. de la dette</t>
  </si>
  <si>
    <t xml:space="preserve"> Dettes financières totales / Fonds Propres</t>
  </si>
  <si>
    <t xml:space="preserve"> Dettes financières totales / EBE (années) </t>
  </si>
  <si>
    <t xml:space="preserve"> Dettes financières totales / CFEN (années)</t>
  </si>
  <si>
    <t xml:space="preserve"> Dividendes (au titre de n) / Fonds Propres (de n)</t>
  </si>
  <si>
    <t xml:space="preserve"> BFR -net et hors EENE- (Jours de CA)</t>
  </si>
  <si>
    <t>PAGE 4/4</t>
  </si>
  <si>
    <t xml:space="preserve">    - Reprises (exploitat°) sur amts / prov. &amp; Transferts de charges</t>
  </si>
  <si>
    <t xml:space="preserve">     +  Dot. (exploitation) aux prov. pour risques et charges</t>
  </si>
  <si>
    <t xml:space="preserve">     +   Dot. (exploitation) aux provisions d'actifs (immo. &amp; circul. hors VMP)</t>
  </si>
  <si>
    <r>
      <t xml:space="preserve"> + i x</t>
    </r>
    <r>
      <rPr>
        <i/>
        <sz val="10"/>
        <rFont val="Arial"/>
        <family val="2"/>
      </rPr>
      <t xml:space="preserve"> (subvt° d'invst.+ prov. réglem.)</t>
    </r>
  </si>
  <si>
    <t>ZE Annexe 11 n+1</t>
  </si>
  <si>
    <t>HP+HQ : automatiquement rempli</t>
  </si>
  <si>
    <t>000' DZD</t>
  </si>
  <si>
    <r>
      <t xml:space="preserve">     Variation de stock de marchand. </t>
    </r>
    <r>
      <rPr>
        <sz val="6"/>
        <rFont val="Arial"/>
        <family val="2"/>
      </rPr>
      <t>(par convention, la saisie de ce poste se fait avec un signe (+/-) contraire de celui de la liasse fiscale)</t>
    </r>
  </si>
  <si>
    <r>
      <t xml:space="preserve"> + Variation de stock de mat. prem. </t>
    </r>
    <r>
      <rPr>
        <sz val="6"/>
        <rFont val="Arial"/>
        <family val="2"/>
      </rPr>
      <t>(par convention, la saisie de ce poste se fait avec un signe (+/-) contraire de celui de la liasse fiscale)</t>
    </r>
  </si>
  <si>
    <r>
      <t xml:space="preserve">financiers), dans les zones </t>
    </r>
    <r>
      <rPr>
        <u/>
        <sz val="11"/>
        <rFont val="Arial"/>
        <family val="2"/>
      </rPr>
      <t>Compte de Résultat</t>
    </r>
    <r>
      <rPr>
        <sz val="11"/>
        <rFont val="Arial"/>
        <family val="2"/>
      </rPr>
      <t xml:space="preserve"> et </t>
    </r>
    <r>
      <rPr>
        <u/>
        <sz val="11"/>
        <rFont val="Arial"/>
        <family val="2"/>
      </rPr>
      <t>Tableau de Flux</t>
    </r>
    <r>
      <rPr>
        <sz val="11"/>
        <rFont val="Arial"/>
        <family val="2"/>
      </rPr>
      <t xml:space="preserve"> de "PrSept".  </t>
    </r>
  </si>
  <si>
    <r>
      <t xml:space="preserve">   Il devra alors dans "PrSept" afficher les lignes de saisie détaillée (</t>
    </r>
    <r>
      <rPr>
        <i/>
        <sz val="11"/>
        <rFont val="Arial"/>
        <family val="2"/>
      </rPr>
      <t>cellules jaunes</t>
    </r>
    <r>
      <rPr>
        <sz val="11"/>
        <rFont val="Arial"/>
        <family val="2"/>
      </rPr>
      <t>) avec les "boutons de</t>
    </r>
  </si>
  <si>
    <r>
      <t xml:space="preserve">un total de celui-ci dans une quelconque des </t>
    </r>
    <r>
      <rPr>
        <i/>
        <sz val="11"/>
        <rFont val="Arial"/>
        <family val="2"/>
      </rPr>
      <t>cellules jaunes</t>
    </r>
    <r>
      <rPr>
        <sz val="11"/>
        <rFont val="Arial"/>
        <family val="2"/>
      </rPr>
      <t xml:space="preserve">, puis le masquer à l'aide du "bouton de dégroupage".  </t>
    </r>
  </si>
  <si>
    <r>
      <t xml:space="preserve"> </t>
    </r>
    <r>
      <rPr>
        <b/>
        <u/>
        <sz val="12"/>
        <color indexed="8"/>
        <rFont val="Arial"/>
        <family val="2"/>
      </rPr>
      <t>Hypothèses retenues :</t>
    </r>
  </si>
  <si>
    <r>
      <t xml:space="preserve"> </t>
    </r>
    <r>
      <rPr>
        <b/>
        <u/>
        <sz val="11"/>
        <color indexed="8"/>
        <rFont val="Arial"/>
        <family val="2"/>
      </rPr>
      <t>Eléments de l'exploitation :</t>
    </r>
    <r>
      <rPr>
        <sz val="11"/>
        <color indexed="8"/>
        <rFont val="Arial"/>
        <family val="2"/>
      </rPr>
      <t/>
    </r>
  </si>
  <si>
    <r>
      <t xml:space="preserve"> Eléments de l'exploitation :</t>
    </r>
    <r>
      <rPr>
        <sz val="11"/>
        <color indexed="8"/>
        <rFont val="Arial"/>
        <family val="2"/>
      </rPr>
      <t xml:space="preserve"> </t>
    </r>
    <r>
      <rPr>
        <sz val="11"/>
        <color indexed="10"/>
        <rFont val="Arial"/>
        <family val="2"/>
      </rPr>
      <t>(en %)</t>
    </r>
  </si>
  <si>
    <r>
      <t xml:space="preserve"> </t>
    </r>
    <r>
      <rPr>
        <b/>
        <u/>
        <sz val="11"/>
        <rFont val="Arial"/>
        <family val="2"/>
      </rPr>
      <t>Eléments de coût du capital :</t>
    </r>
    <r>
      <rPr>
        <sz val="11"/>
        <rFont val="Arial"/>
        <family val="2"/>
      </rPr>
      <t/>
    </r>
  </si>
  <si>
    <r>
      <t xml:space="preserve"> Eléments de coût du capital :</t>
    </r>
    <r>
      <rPr>
        <sz val="11"/>
        <rFont val="Arial"/>
        <family val="2"/>
      </rPr>
      <t xml:space="preserve"> </t>
    </r>
    <r>
      <rPr>
        <sz val="11"/>
        <color indexed="10"/>
        <rFont val="Arial"/>
        <family val="2"/>
      </rPr>
      <t>(en %)</t>
    </r>
  </si>
  <si>
    <r>
      <t xml:space="preserve"> Frais fi. / Dette fi. totale moyenne de l'année </t>
    </r>
    <r>
      <rPr>
        <sz val="10"/>
        <color indexed="8"/>
        <rFont val="Arial"/>
        <family val="2"/>
      </rPr>
      <t xml:space="preserve">(hors cdt-bail) </t>
    </r>
  </si>
  <si>
    <r>
      <t xml:space="preserve"> Taux d'IS</t>
    </r>
    <r>
      <rPr>
        <sz val="10"/>
        <color indexed="8"/>
        <rFont val="Arial"/>
        <family val="2"/>
      </rPr>
      <t xml:space="preserve"> (= IS / Résultat avant IS)</t>
    </r>
  </si>
  <si>
    <r>
      <t xml:space="preserve"> Taux d'IS </t>
    </r>
    <r>
      <rPr>
        <sz val="10"/>
        <color indexed="8"/>
        <rFont val="Arial"/>
        <family val="2"/>
      </rPr>
      <t>(= IS / Résultat avant IS)</t>
    </r>
  </si>
  <si>
    <r>
      <t xml:space="preserve"> Tx de distrib. de dividendes</t>
    </r>
    <r>
      <rPr>
        <sz val="9"/>
        <color indexed="8"/>
        <rFont val="Arial"/>
        <family val="2"/>
      </rPr>
      <t xml:space="preserve"> [=Dividendes au titre de n / RN(n)] </t>
    </r>
  </si>
  <si>
    <r>
      <t xml:space="preserve"> </t>
    </r>
    <r>
      <rPr>
        <b/>
        <u/>
        <sz val="11"/>
        <color indexed="8"/>
        <rFont val="Arial"/>
        <family val="2"/>
      </rPr>
      <t>Eléments de haut-de-bilan :</t>
    </r>
    <r>
      <rPr>
        <sz val="11"/>
        <color indexed="8"/>
        <rFont val="Arial"/>
        <family val="2"/>
      </rPr>
      <t/>
    </r>
  </si>
  <si>
    <r>
      <t xml:space="preserve"> </t>
    </r>
    <r>
      <rPr>
        <b/>
        <u/>
        <sz val="11"/>
        <rFont val="Arial"/>
        <family val="2"/>
      </rPr>
      <t>Eléments du BFR :</t>
    </r>
    <r>
      <rPr>
        <sz val="11"/>
        <rFont val="Arial"/>
        <family val="2"/>
      </rPr>
      <t/>
    </r>
  </si>
  <si>
    <r>
      <t xml:space="preserve"> Eléments du BFR :</t>
    </r>
    <r>
      <rPr>
        <sz val="11"/>
        <rFont val="Arial"/>
        <family val="2"/>
      </rPr>
      <t xml:space="preserve"> </t>
    </r>
    <r>
      <rPr>
        <sz val="11"/>
        <color indexed="10"/>
        <rFont val="Arial"/>
        <family val="2"/>
      </rPr>
      <t>(en Jours)</t>
    </r>
  </si>
  <si>
    <r>
      <t xml:space="preserve"> Crédit Fournisseurs (exprimé en J. d' </t>
    </r>
    <r>
      <rPr>
        <i/>
        <u/>
        <sz val="11"/>
        <color indexed="8"/>
        <rFont val="Arial"/>
        <family val="2"/>
      </rPr>
      <t>Achats</t>
    </r>
    <r>
      <rPr>
        <sz val="11"/>
        <color indexed="8"/>
        <rFont val="Arial"/>
        <family val="2"/>
      </rPr>
      <t>)</t>
    </r>
  </si>
  <si>
    <r>
      <t xml:space="preserve"> Autres dettes </t>
    </r>
    <r>
      <rPr>
        <sz val="9"/>
        <color indexed="8"/>
        <rFont val="Arial"/>
        <family val="2"/>
      </rPr>
      <t>(hors Prov.et Divid.)</t>
    </r>
    <r>
      <rPr>
        <sz val="11"/>
        <color indexed="8"/>
        <rFont val="Arial"/>
        <family val="2"/>
      </rPr>
      <t xml:space="preserve"> (exprimées en J. de CA)</t>
    </r>
  </si>
  <si>
    <r>
      <t xml:space="preserve"> </t>
    </r>
    <r>
      <rPr>
        <b/>
        <u/>
        <sz val="11"/>
        <color indexed="8"/>
        <rFont val="Arial"/>
        <family val="2"/>
      </rPr>
      <t>Eléments spécifiques / exceptionnels :</t>
    </r>
    <r>
      <rPr>
        <sz val="11"/>
        <color indexed="8"/>
        <rFont val="Arial"/>
        <family val="2"/>
      </rPr>
      <t/>
    </r>
  </si>
  <si>
    <r>
      <t xml:space="preserve"> Augmentation de capital </t>
    </r>
    <r>
      <rPr>
        <sz val="9"/>
        <color indexed="8"/>
        <rFont val="Arial"/>
        <family val="2"/>
      </rPr>
      <t>(au sens large)</t>
    </r>
    <r>
      <rPr>
        <sz val="11"/>
        <color indexed="8"/>
        <rFont val="Arial"/>
        <family val="2"/>
      </rPr>
      <t xml:space="preserve"> </t>
    </r>
  </si>
  <si>
    <r>
      <t xml:space="preserve"> Investissements financiers </t>
    </r>
    <r>
      <rPr>
        <sz val="9"/>
        <color indexed="8"/>
        <rFont val="Arial"/>
        <family val="2"/>
      </rPr>
      <t>(Goodwill, Stés appar., Immo. fin.)</t>
    </r>
  </si>
  <si>
    <r>
      <t xml:space="preserve"> Prix de cession des actifs </t>
    </r>
    <r>
      <rPr>
        <sz val="10"/>
        <color indexed="8"/>
        <rFont val="Arial"/>
        <family val="2"/>
      </rPr>
      <t>(Immo.d'expl. et Titres)</t>
    </r>
  </si>
  <si>
    <r>
      <t xml:space="preserve"> Valeur </t>
    </r>
    <r>
      <rPr>
        <u/>
        <sz val="11"/>
        <rFont val="Arial"/>
        <family val="2"/>
      </rPr>
      <t>brute</t>
    </r>
    <r>
      <rPr>
        <sz val="11"/>
        <rFont val="Arial"/>
        <family val="2"/>
      </rPr>
      <t xml:space="preserve"> comptable des immo. d'exploitation cédées</t>
    </r>
  </si>
  <si>
    <r>
      <t xml:space="preserve"> Valeur </t>
    </r>
    <r>
      <rPr>
        <u/>
        <sz val="11"/>
        <rFont val="Arial"/>
        <family val="2"/>
      </rPr>
      <t>nette</t>
    </r>
    <r>
      <rPr>
        <sz val="11"/>
        <rFont val="Arial"/>
        <family val="2"/>
      </rPr>
      <t xml:space="preserve"> comptable des immo. d'exploitation cédées</t>
    </r>
  </si>
  <si>
    <r>
      <t xml:space="preserve"> Valeur </t>
    </r>
    <r>
      <rPr>
        <u/>
        <sz val="11"/>
        <rFont val="Arial"/>
        <family val="2"/>
      </rPr>
      <t>nette</t>
    </r>
    <r>
      <rPr>
        <sz val="11"/>
        <rFont val="Arial"/>
        <family val="2"/>
      </rPr>
      <t xml:space="preserve"> comptable des titres cédés</t>
    </r>
  </si>
  <si>
    <r>
      <t xml:space="preserve"> Dotat° nette aux prov. risques et charges </t>
    </r>
    <r>
      <rPr>
        <u/>
        <sz val="11"/>
        <color indexed="8"/>
        <rFont val="Arial"/>
        <family val="2"/>
      </rPr>
      <t>non stables</t>
    </r>
  </si>
  <si>
    <r>
      <t xml:space="preserve"> Dotat° nette aux prov. risques et charges </t>
    </r>
    <r>
      <rPr>
        <u/>
        <sz val="11"/>
        <color indexed="8"/>
        <rFont val="Arial"/>
        <family val="2"/>
      </rPr>
      <t>stables</t>
    </r>
  </si>
  <si>
    <r>
      <t xml:space="preserve"> Effets escomptés non échus </t>
    </r>
    <r>
      <rPr>
        <u/>
        <sz val="11"/>
        <color indexed="10"/>
        <rFont val="Arial"/>
        <family val="2"/>
      </rPr>
      <t>(exprimés en J. de CA)</t>
    </r>
  </si>
  <si>
    <r>
      <t xml:space="preserve"> </t>
    </r>
    <r>
      <rPr>
        <u/>
        <sz val="11"/>
        <rFont val="Arial"/>
        <family val="2"/>
      </rPr>
      <t>ou bien</t>
    </r>
    <r>
      <rPr>
        <sz val="11"/>
        <rFont val="Arial"/>
        <family val="2"/>
      </rPr>
      <t xml:space="preserve">  (ii) le programme compensera automatiquement l'insuffisance de liquidités éventuellement constatée</t>
    </r>
  </si>
  <si>
    <r>
      <t xml:space="preserve"> Reprise de données pour les Feuilles "Résumé", "PrCinq"</t>
    </r>
    <r>
      <rPr>
        <b/>
        <sz val="11"/>
        <color indexed="10"/>
        <rFont val="Arial"/>
        <family val="2"/>
      </rPr>
      <t xml:space="preserve"> </t>
    </r>
    <r>
      <rPr>
        <sz val="11"/>
        <color indexed="10"/>
        <rFont val="Arial"/>
        <family val="2"/>
      </rPr>
      <t xml:space="preserve">et "Dette" </t>
    </r>
    <r>
      <rPr>
        <b/>
        <sz val="11"/>
        <color indexed="10"/>
        <rFont val="Arial"/>
        <family val="2"/>
      </rPr>
      <t>(ne pas modifier)</t>
    </r>
    <r>
      <rPr>
        <sz val="11"/>
        <color indexed="10"/>
        <rFont val="Arial"/>
        <family val="2"/>
      </rPr>
      <t xml:space="preserve"> :               </t>
    </r>
    <r>
      <rPr>
        <b/>
        <sz val="11"/>
        <color indexed="10"/>
        <rFont val="Arial"/>
        <family val="2"/>
      </rPr>
      <t>Ne pas non plus ajouter de lignes dans, ou avant, ce bloc gris</t>
    </r>
    <r>
      <rPr>
        <sz val="11"/>
        <color indexed="10"/>
        <rFont val="Arial"/>
        <family val="2"/>
      </rPr>
      <t>.</t>
    </r>
  </si>
  <si>
    <r>
      <t xml:space="preserve"> </t>
    </r>
    <r>
      <rPr>
        <u/>
        <sz val="11"/>
        <color indexed="10"/>
        <rFont val="Arial"/>
        <family val="2"/>
      </rPr>
      <t>Reprise de données pour la Feuille de Résumé (ne pas modifier) :</t>
    </r>
    <r>
      <rPr>
        <sz val="11"/>
        <color indexed="10"/>
        <rFont val="Arial"/>
        <family val="2"/>
      </rPr>
      <t xml:space="preserve">                Ne pas non plus ajouter de lignes dans ou avant ce bloc gris.</t>
    </r>
  </si>
  <si>
    <r>
      <t xml:space="preserve"> </t>
    </r>
    <r>
      <rPr>
        <b/>
        <u/>
        <sz val="11"/>
        <color indexed="8"/>
        <rFont val="Arial"/>
        <family val="2"/>
      </rPr>
      <t>Bilan :</t>
    </r>
  </si>
  <si>
    <r>
      <t xml:space="preserve"> Immobilisat. hors expl. nettes </t>
    </r>
    <r>
      <rPr>
        <sz val="9"/>
        <color indexed="8"/>
        <rFont val="Arial"/>
        <family val="2"/>
      </rPr>
      <t>(Goodw./Stés appar./Immo. fin.)</t>
    </r>
  </si>
  <si>
    <r>
      <t xml:space="preserve"> </t>
    </r>
    <r>
      <rPr>
        <b/>
        <u/>
        <sz val="12"/>
        <color indexed="8"/>
        <rFont val="Arial"/>
        <family val="2"/>
      </rPr>
      <t>Hors bilan</t>
    </r>
  </si>
  <si>
    <r>
      <t xml:space="preserve"> </t>
    </r>
    <r>
      <rPr>
        <b/>
        <u/>
        <sz val="11"/>
        <color indexed="8"/>
        <rFont val="Arial"/>
        <family val="2"/>
      </rPr>
      <t>Hors bilan</t>
    </r>
  </si>
  <si>
    <r>
      <t xml:space="preserve"> </t>
    </r>
    <r>
      <rPr>
        <b/>
        <u/>
        <sz val="12"/>
        <color indexed="8"/>
        <rFont val="Arial"/>
        <family val="2"/>
      </rPr>
      <t>Compte de Résultat :</t>
    </r>
  </si>
  <si>
    <r>
      <t xml:space="preserve"> </t>
    </r>
    <r>
      <rPr>
        <b/>
        <u/>
        <sz val="11"/>
        <color indexed="8"/>
        <rFont val="Arial"/>
        <family val="2"/>
      </rPr>
      <t>Compte de Résultat :</t>
    </r>
  </si>
  <si>
    <r>
      <t xml:space="preserve"> - Dotat° nette aux prov. risques et charges </t>
    </r>
    <r>
      <rPr>
        <u/>
        <sz val="11"/>
        <color indexed="8"/>
        <rFont val="Arial"/>
        <family val="2"/>
      </rPr>
      <t>non stables</t>
    </r>
  </si>
  <si>
    <r>
      <t xml:space="preserve"> - Dotat° nette aux prov. risques et charges </t>
    </r>
    <r>
      <rPr>
        <u/>
        <sz val="11"/>
        <color indexed="8"/>
        <rFont val="Arial"/>
        <family val="2"/>
      </rPr>
      <t>stables</t>
    </r>
  </si>
  <si>
    <r>
      <t xml:space="preserve"> + Divers "non-cash" </t>
    </r>
    <r>
      <rPr>
        <sz val="9"/>
        <rFont val="Arial"/>
        <family val="2"/>
      </rPr>
      <t>(exploitation ou hors exploitation)</t>
    </r>
  </si>
  <si>
    <r>
      <t xml:space="preserve"> </t>
    </r>
    <r>
      <rPr>
        <b/>
        <u/>
        <sz val="12"/>
        <color indexed="8"/>
        <rFont val="Arial"/>
        <family val="2"/>
      </rPr>
      <t>Tableau de flux :</t>
    </r>
  </si>
  <si>
    <r>
      <t xml:space="preserve"> </t>
    </r>
    <r>
      <rPr>
        <b/>
        <u/>
        <sz val="11"/>
        <color indexed="8"/>
        <rFont val="Arial"/>
        <family val="2"/>
      </rPr>
      <t>Tableau de flux :</t>
    </r>
  </si>
  <si>
    <r>
      <t xml:space="preserve"> - Variation des Clients </t>
    </r>
    <r>
      <rPr>
        <sz val="9"/>
        <color indexed="8"/>
        <rFont val="Arial"/>
        <family val="2"/>
      </rPr>
      <t>(y/c EENE)</t>
    </r>
  </si>
  <si>
    <r>
      <t xml:space="preserve">Acquisition de titres </t>
    </r>
    <r>
      <rPr>
        <i/>
        <sz val="8"/>
        <color indexed="8"/>
        <rFont val="Arial"/>
        <family val="2"/>
      </rPr>
      <t>(de stés non consolidées en intégration globale)</t>
    </r>
  </si>
  <si>
    <r>
      <t xml:space="preserve"> + Cessions d'actifs </t>
    </r>
    <r>
      <rPr>
        <sz val="9"/>
        <color indexed="8"/>
        <rFont val="Arial"/>
        <family val="2"/>
      </rPr>
      <t>(Immo.d'exploitation et Titres)</t>
    </r>
  </si>
  <si>
    <r>
      <t xml:space="preserve"> Rembrsmts des nouv. DLMT</t>
    </r>
    <r>
      <rPr>
        <i/>
        <sz val="8"/>
        <color indexed="8"/>
        <rFont val="Arial"/>
        <family val="2"/>
      </rPr>
      <t xml:space="preserve">(listées ci-dessus) </t>
    </r>
    <r>
      <rPr>
        <i/>
        <sz val="10"/>
        <color indexed="8"/>
        <rFont val="Arial"/>
        <family val="2"/>
      </rPr>
      <t>:</t>
    </r>
  </si>
  <si>
    <r>
      <t xml:space="preserve"> + Variation des Dettes financières CT </t>
    </r>
    <r>
      <rPr>
        <sz val="9"/>
        <color indexed="8"/>
        <rFont val="Arial"/>
        <family val="2"/>
      </rPr>
      <t>(y/c EENE)</t>
    </r>
  </si>
  <si>
    <r>
      <t xml:space="preserve"> </t>
    </r>
    <r>
      <rPr>
        <b/>
        <u/>
        <sz val="12"/>
        <color indexed="8"/>
        <rFont val="Arial"/>
        <family val="2"/>
      </rPr>
      <t>Ratios principaux :</t>
    </r>
    <r>
      <rPr>
        <b/>
        <sz val="12"/>
        <color indexed="8"/>
        <rFont val="Arial"/>
        <family val="2"/>
      </rPr>
      <t xml:space="preserve"> </t>
    </r>
    <r>
      <rPr>
        <sz val="10"/>
        <color indexed="8"/>
        <rFont val="Arial"/>
        <family val="2"/>
      </rPr>
      <t>(en %, sauf indication contraire)</t>
    </r>
  </si>
  <si>
    <r>
      <t xml:space="preserve"> </t>
    </r>
    <r>
      <rPr>
        <b/>
        <u/>
        <sz val="12"/>
        <color indexed="8"/>
        <rFont val="Arial"/>
        <family val="2"/>
      </rPr>
      <t>Ratios principaux :</t>
    </r>
    <r>
      <rPr>
        <sz val="12"/>
        <color indexed="8"/>
        <rFont val="Arial"/>
        <family val="2"/>
      </rPr>
      <t xml:space="preserve"> (en %, sauf indication contraire)</t>
    </r>
  </si>
  <si>
    <r>
      <t xml:space="preserve">(en </t>
    </r>
    <r>
      <rPr>
        <b/>
        <sz val="10"/>
        <color indexed="8"/>
        <rFont val="Arial"/>
        <family val="2"/>
      </rPr>
      <t>gras</t>
    </r>
    <r>
      <rPr>
        <sz val="10"/>
        <color indexed="8"/>
        <rFont val="Arial"/>
        <family val="2"/>
      </rPr>
      <t xml:space="preserve"> : ratios des "Etats Financiers")</t>
    </r>
  </si>
  <si>
    <r>
      <t xml:space="preserve"> Mge Commerc. / CA  </t>
    </r>
    <r>
      <rPr>
        <b/>
        <i/>
        <sz val="9"/>
        <rFont val="Arial"/>
        <family val="2"/>
      </rPr>
      <t>(Rappel)</t>
    </r>
  </si>
  <si>
    <r>
      <t xml:space="preserve"> EBE / CA  </t>
    </r>
    <r>
      <rPr>
        <b/>
        <i/>
        <sz val="9"/>
        <rFont val="Arial"/>
        <family val="2"/>
      </rPr>
      <t>(Rappel)</t>
    </r>
  </si>
  <si>
    <r>
      <t xml:space="preserve"> CFEN</t>
    </r>
    <r>
      <rPr>
        <sz val="8"/>
        <rFont val="Arial"/>
        <family val="2"/>
      </rPr>
      <t>+(Frais fin.+1/3 Ann.cdt-bail)</t>
    </r>
    <r>
      <rPr>
        <sz val="11"/>
        <rFont val="Arial"/>
        <family val="2"/>
      </rPr>
      <t xml:space="preserve"> - Inv. indust. / Serv. de la dette</t>
    </r>
  </si>
  <si>
    <r>
      <t xml:space="preserve"> Dettes financ. totales </t>
    </r>
    <r>
      <rPr>
        <u/>
        <sz val="11"/>
        <rFont val="Arial"/>
        <family val="2"/>
      </rPr>
      <t>nettes</t>
    </r>
    <r>
      <rPr>
        <sz val="11"/>
        <rFont val="Arial"/>
        <family val="2"/>
      </rPr>
      <t xml:space="preserve"> / Fds Propres</t>
    </r>
  </si>
  <si>
    <r>
      <t xml:space="preserve"> Dettes financières totales </t>
    </r>
    <r>
      <rPr>
        <u/>
        <sz val="11"/>
        <rFont val="Arial"/>
        <family val="2"/>
      </rPr>
      <t>nettes</t>
    </r>
    <r>
      <rPr>
        <sz val="11"/>
        <rFont val="Arial"/>
        <family val="2"/>
      </rPr>
      <t xml:space="preserve"> / EBE (années) </t>
    </r>
  </si>
  <si>
    <t>Unité de compte (M.EUR, M.USD, ...) :</t>
  </si>
  <si>
    <t xml:space="preserve">Note: </t>
  </si>
  <si>
    <t xml:space="preserve"> Dettes financières MLT (yc part en capital du CB et hors bilan)</t>
  </si>
  <si>
    <t xml:space="preserve"> + Autre</t>
  </si>
  <si>
    <r>
      <t xml:space="preserve"> RATIOS</t>
    </r>
    <r>
      <rPr>
        <b/>
        <sz val="11"/>
        <rFont val="Arial"/>
        <family val="2"/>
      </rPr>
      <t/>
    </r>
  </si>
  <si>
    <t xml:space="preserve"> Dettes financières totales / EBE (en années) </t>
  </si>
  <si>
    <t xml:space="preserve"> Dettes financières totales / CFEN (en années) </t>
  </si>
  <si>
    <t xml:space="preserve"> Rotation des stocks  (Jours de CA)</t>
  </si>
  <si>
    <t xml:space="preserve"> Délais clients  (Jours de CA)</t>
  </si>
  <si>
    <r>
      <t xml:space="preserve"> Crédit fournisseurs  </t>
    </r>
    <r>
      <rPr>
        <i/>
        <sz val="11"/>
        <rFont val="Arial"/>
        <family val="2"/>
      </rPr>
      <t>(Jours d'achats)</t>
    </r>
  </si>
  <si>
    <t xml:space="preserve"> Résultat économique / CA  (%)</t>
  </si>
  <si>
    <t xml:space="preserve"> Résultat net / CA (%)</t>
  </si>
  <si>
    <t xml:space="preserve"> Résultat net / Total Actif (%)</t>
  </si>
  <si>
    <t xml:space="preserve"> % des exportations</t>
  </si>
  <si>
    <t>2 ans</t>
  </si>
  <si>
    <t>2/5 ans</t>
  </si>
  <si>
    <t>&gt; 5ans</t>
  </si>
  <si>
    <t>Total</t>
  </si>
  <si>
    <t>Echéancier de la dette MLT  1an</t>
  </si>
  <si>
    <t xml:space="preserve"> Dettes Fin. Court Terme (yc Part CT DMLT)</t>
  </si>
  <si>
    <t xml:space="preserve"> Dettes Fin. Moyen &amp; Long Terme (yc Hors Bilan)</t>
  </si>
  <si>
    <t xml:space="preserve"> Dettes Fin. Totales (yc Hors Bilan)</t>
  </si>
  <si>
    <t xml:space="preserve"> Dettes Fin. Totales Nettes</t>
  </si>
  <si>
    <t xml:space="preserve"> = Cashflow d'Exploitat° Net  (CFEN)</t>
  </si>
  <si>
    <t xml:space="preserve"> Dettes Fin. Tot. / EBE (années) </t>
  </si>
  <si>
    <t xml:space="preserve"> Dettes Fin. Tot. Nettes / EBE (années) </t>
  </si>
  <si>
    <t xml:space="preserve"> EBE / Frais financiers</t>
  </si>
  <si>
    <t xml:space="preserve"> EBE / Frais financiers + Annuité de CB</t>
  </si>
  <si>
    <t xml:space="preserve"> EBE / Service de la dette (yc CB)</t>
  </si>
  <si>
    <t xml:space="preserve"> CFEN - Invest. / Service de la dette (yc CB)</t>
  </si>
  <si>
    <t>l'exceptionnel du CR, les variations de consolidation sur les postes de provisions du bilan (actif et passif), qui ne</t>
  </si>
  <si>
    <t>en utilisant les variations des postes de provision du bilan.</t>
  </si>
  <si>
    <t>ce calcul automatique des produits et charges hors exploitation n'est donc valable que pour les comptes sociaux.</t>
  </si>
  <si>
    <t>(dans le cas de comptes consolidés, le calcul automatique ci-dessus comprendrait en effet outre la partie cash de</t>
  </si>
  <si>
    <t>sont reprises nulle part ailleurs),</t>
  </si>
  <si>
    <t>les produits et charges hors exploitation de notre tableau de cash-flow représentent la partie cash du solde</t>
  </si>
  <si>
    <t>En cas de besoin ne pas hésiter à calculer manuellement ces produits et charges hors exploitation:</t>
  </si>
  <si>
    <r>
      <t xml:space="preserve">- par méthode directe: sélectionner les postes cash </t>
    </r>
    <r>
      <rPr>
        <i/>
        <sz val="8"/>
        <rFont val="Arial"/>
        <family val="2"/>
      </rPr>
      <t>(c'est à dire hors provisions, amortissements, et plus ou moins</t>
    </r>
  </si>
  <si>
    <t xml:space="preserve">   EBE</t>
  </si>
  <si>
    <t xml:space="preserve"> - Investissement industriel (hors production immobilisée)</t>
  </si>
  <si>
    <t xml:space="preserve"> - Variation du BFR (hors EENE)</t>
  </si>
  <si>
    <t xml:space="preserve"> - Dividendes payés dans l'année</t>
  </si>
  <si>
    <t>A saisir le cas échéant</t>
  </si>
  <si>
    <t xml:space="preserve"> = Cash disponible pour le service de la dette </t>
  </si>
  <si>
    <t xml:space="preserve"> - Service de la dette (crédit-bail inclus) hors remb. CT et EENE</t>
  </si>
  <si>
    <t xml:space="preserve"> - Rembours. des CT et EENE + économie de frais fin.</t>
  </si>
  <si>
    <t xml:space="preserve"> Paramètres retenus :</t>
  </si>
  <si>
    <t xml:space="preserve">[ Les années (n+8) à (n+12) seront identiques à (n+7) ]                       </t>
  </si>
  <si>
    <t xml:space="preserve"> Nombre d'années considérées :</t>
  </si>
  <si>
    <t xml:space="preserve"> (Maximum : 12 années)</t>
  </si>
  <si>
    <t>(Durée)</t>
  </si>
  <si>
    <t>(1 an)</t>
  </si>
  <si>
    <t>(2 ans)</t>
  </si>
  <si>
    <t>(3 ans)</t>
  </si>
  <si>
    <t>(4 ans)</t>
  </si>
  <si>
    <t>(5 ans)</t>
  </si>
  <si>
    <t>(6 ans)</t>
  </si>
  <si>
    <t>(7 ans)</t>
  </si>
  <si>
    <t>(8 ans)</t>
  </si>
  <si>
    <t>(9 ans)</t>
  </si>
  <si>
    <t>(10 ans)</t>
  </si>
  <si>
    <t>(11 ans)</t>
  </si>
  <si>
    <t>(12 ans)</t>
  </si>
  <si>
    <t xml:space="preserve"> Nombre d'années considérées (à saisir) :</t>
  </si>
  <si>
    <t xml:space="preserve"> Taux d'intérêts après IS (=Ri)</t>
  </si>
  <si>
    <t xml:space="preserve"> Taux d'intérêts après IS (=R1)</t>
  </si>
  <si>
    <t xml:space="preserve"> Taux d'intérêts (composés) après IS [ =(1+R1)*(1+R2)*,,,]</t>
  </si>
  <si>
    <t xml:space="preserve"> Valeur Actuelle du CDSD</t>
  </si>
  <si>
    <t xml:space="preserve"> Valeur actuelle du CDSD</t>
  </si>
  <si>
    <t xml:space="preserve"> Détermination de l'année de remboursement des CT</t>
  </si>
  <si>
    <t xml:space="preserve"> (Réservé aux calculs)</t>
  </si>
  <si>
    <t xml:space="preserve"> (Résevé aux calculs)</t>
  </si>
  <si>
    <t xml:space="preserve"> CAPACITE D'ENDETTEMENT :</t>
  </si>
  <si>
    <t xml:space="preserve">  (Maximum : sur 12 années)</t>
  </si>
  <si>
    <t xml:space="preserve"> CAPACITE D'END. SUPPLEMENTAIRE :</t>
  </si>
  <si>
    <t xml:space="preserve">  (Maximum : sur 7 années)</t>
  </si>
  <si>
    <r>
      <t xml:space="preserve"> </t>
    </r>
    <r>
      <rPr>
        <b/>
        <u/>
        <sz val="12"/>
        <color indexed="8"/>
        <rFont val="Arial"/>
        <family val="2"/>
      </rPr>
      <t>Capacité d'endettement :</t>
    </r>
  </si>
  <si>
    <r>
      <t xml:space="preserve"> </t>
    </r>
    <r>
      <rPr>
        <b/>
        <u/>
        <sz val="11"/>
        <color indexed="8"/>
        <rFont val="Arial"/>
        <family val="2"/>
      </rPr>
      <t>Capacité d'endettement :</t>
    </r>
  </si>
  <si>
    <r>
      <t xml:space="preserve"> +/- Divers </t>
    </r>
    <r>
      <rPr>
        <sz val="9"/>
        <color indexed="8"/>
        <rFont val="Arial"/>
        <family val="2"/>
      </rPr>
      <t xml:space="preserve">(Augm. de capital, Cessions d'actifs, ...) </t>
    </r>
  </si>
  <si>
    <r>
      <t xml:space="preserve"> +/- Divers </t>
    </r>
    <r>
      <rPr>
        <sz val="9"/>
        <color indexed="8"/>
        <rFont val="Arial"/>
        <family val="2"/>
      </rPr>
      <t>(Augm. de capital, Cessions d'actifs, ...)</t>
    </r>
    <r>
      <rPr>
        <sz val="11"/>
        <color indexed="8"/>
        <rFont val="Arial"/>
        <family val="2"/>
      </rPr>
      <t xml:space="preserve"> </t>
    </r>
  </si>
  <si>
    <r>
      <t xml:space="preserve"> - Service de la dette </t>
    </r>
    <r>
      <rPr>
        <sz val="9"/>
        <color indexed="8"/>
        <rFont val="Arial"/>
        <family val="2"/>
      </rPr>
      <t>(crédit-bail inclus) hors remb. CT et EENE</t>
    </r>
  </si>
  <si>
    <r>
      <t xml:space="preserve"> = Cash disponible pour le service de la dette </t>
    </r>
    <r>
      <rPr>
        <b/>
        <u/>
        <sz val="11"/>
        <color indexed="8"/>
        <rFont val="Arial"/>
        <family val="2"/>
      </rPr>
      <t>Supplémentaire</t>
    </r>
    <r>
      <rPr>
        <b/>
        <sz val="11"/>
        <color indexed="8"/>
        <rFont val="Arial"/>
        <family val="2"/>
      </rPr>
      <t xml:space="preserve"> </t>
    </r>
  </si>
  <si>
    <r>
      <t xml:space="preserve"> VA des CDSD cumulés </t>
    </r>
    <r>
      <rPr>
        <sz val="9"/>
        <rFont val="Arial"/>
        <family val="2"/>
      </rPr>
      <t>( = Capacité d'Endett. sur "n" années)</t>
    </r>
  </si>
  <si>
    <r>
      <t xml:space="preserve"> Valeur actuelle du CDSD </t>
    </r>
    <r>
      <rPr>
        <b/>
        <sz val="11"/>
        <color indexed="8"/>
        <rFont val="Arial"/>
        <family val="2"/>
      </rPr>
      <t>Supplémentaire</t>
    </r>
  </si>
  <si>
    <r>
      <t xml:space="preserve"> Valeur Actuelle des CDSD </t>
    </r>
    <r>
      <rPr>
        <b/>
        <sz val="11"/>
        <color indexed="8"/>
        <rFont val="Arial"/>
        <family val="2"/>
      </rPr>
      <t>Supplémentaires</t>
    </r>
    <r>
      <rPr>
        <sz val="11"/>
        <color indexed="8"/>
        <rFont val="Arial"/>
        <family val="2"/>
      </rPr>
      <t xml:space="preserve"> cumulés</t>
    </r>
  </si>
  <si>
    <r>
      <t xml:space="preserve"> Valeur actuelle des CDSD </t>
    </r>
    <r>
      <rPr>
        <b/>
        <sz val="11"/>
        <color indexed="8"/>
        <rFont val="Arial"/>
        <family val="2"/>
      </rPr>
      <t>Supplémentaires</t>
    </r>
    <r>
      <rPr>
        <sz val="11"/>
        <color indexed="8"/>
        <rFont val="Arial"/>
        <family val="2"/>
      </rPr>
      <t xml:space="preserve"> cumulés</t>
    </r>
  </si>
  <si>
    <t>Société:</t>
  </si>
  <si>
    <t>Feuille de Saisie</t>
  </si>
  <si>
    <t>Groupe:</t>
  </si>
  <si>
    <r>
      <t xml:space="preserve">Immo. d'exploitation brutes </t>
    </r>
    <r>
      <rPr>
        <b/>
        <i/>
        <sz val="10"/>
        <color indexed="24"/>
        <rFont val="Arial"/>
        <family val="2"/>
      </rPr>
      <t>(incorporelles)</t>
    </r>
  </si>
  <si>
    <t xml:space="preserve">    Frais d'établissement bruts</t>
  </si>
  <si>
    <t xml:space="preserve"> + Prime de remb. sur emprunt oblig.</t>
  </si>
  <si>
    <t xml:space="preserve"> (+ charges à répartir sur plusieurs exercices, uniquement pour la part relative aux immo. industrielles)</t>
  </si>
  <si>
    <t xml:space="preserve"> + Autres immo. incorporelles brutes</t>
  </si>
  <si>
    <t xml:space="preserve">  - Survaleur / goodwill bruts (si inclus)</t>
  </si>
  <si>
    <r>
      <t xml:space="preserve">Amortissemts </t>
    </r>
    <r>
      <rPr>
        <b/>
        <sz val="8"/>
        <color indexed="24"/>
        <rFont val="Arial"/>
        <family val="2"/>
      </rPr>
      <t>(&amp; prov.)</t>
    </r>
    <r>
      <rPr>
        <b/>
        <sz val="10"/>
        <color indexed="24"/>
        <rFont val="Arial"/>
        <family val="2"/>
      </rPr>
      <t xml:space="preserve"> immo.</t>
    </r>
    <r>
      <rPr>
        <b/>
        <i/>
        <sz val="10"/>
        <color indexed="24"/>
        <rFont val="Arial"/>
        <family val="2"/>
      </rPr>
      <t xml:space="preserve"> incorporelles</t>
    </r>
  </si>
  <si>
    <t xml:space="preserve">    Amts sur immo. incorporelles. </t>
  </si>
  <si>
    <t xml:space="preserve">  - Amts de la survaleur (si inclus)</t>
  </si>
  <si>
    <t>Immo. d'exploitation brutes (corporelles)</t>
  </si>
  <si>
    <t xml:space="preserve">    Immo. corporelles brutes</t>
  </si>
  <si>
    <r>
      <t xml:space="preserve">Amortissemts </t>
    </r>
    <r>
      <rPr>
        <b/>
        <sz val="8"/>
        <rFont val="Arial"/>
        <family val="2"/>
      </rPr>
      <t xml:space="preserve">(&amp; prov.) </t>
    </r>
    <r>
      <rPr>
        <b/>
        <sz val="10"/>
        <rFont val="Arial"/>
        <family val="2"/>
      </rPr>
      <t>immo. corporelles</t>
    </r>
  </si>
  <si>
    <t xml:space="preserve">    Amts sur immo. corporelles. </t>
  </si>
  <si>
    <t>Survaleur/ goodwill/ écart d'acquisit. nets</t>
  </si>
  <si>
    <t xml:space="preserve">   Survaleur / goodwill brut(s)</t>
  </si>
  <si>
    <t xml:space="preserve"> - Amt de la survaleur / goodwill</t>
  </si>
  <si>
    <t>Immo. financières nettes</t>
  </si>
  <si>
    <t xml:space="preserve">  Brut :</t>
  </si>
  <si>
    <t xml:space="preserve">    Participations</t>
  </si>
  <si>
    <t xml:space="preserve"> + Titres des stés mises en équival.</t>
  </si>
  <si>
    <t xml:space="preserve"> + VMP nanties ou bloquées</t>
  </si>
  <si>
    <t xml:space="preserve"> + Autres titres immobilisés</t>
  </si>
  <si>
    <t xml:space="preserve"> + Prêts</t>
  </si>
  <si>
    <t xml:space="preserve"> + Autres immo. financières</t>
  </si>
  <si>
    <t xml:space="preserve"> - Prov.:</t>
  </si>
  <si>
    <t xml:space="preserve">      pour participations</t>
  </si>
  <si>
    <t xml:space="preserve">      pour titres stés mises en équival.</t>
  </si>
  <si>
    <t xml:space="preserve">      pour VMP nanties ou bloquées</t>
  </si>
  <si>
    <t xml:space="preserve">      pour autres titres immobilisés</t>
  </si>
  <si>
    <t xml:space="preserve">      pour prêts</t>
  </si>
  <si>
    <t xml:space="preserve">      pour autres immo. financières</t>
  </si>
  <si>
    <t>Sociétés apparentées (actif) nettes</t>
  </si>
  <si>
    <t xml:space="preserve">       Créances rattach. à des partic.                </t>
  </si>
  <si>
    <t xml:space="preserve">    + Créances Groupe &amp; associés</t>
  </si>
  <si>
    <t xml:space="preserve">  - Provis. pour créances rattachées à des participations</t>
  </si>
  <si>
    <t>Stocks nets</t>
  </si>
  <si>
    <t xml:space="preserve">   Brut :</t>
  </si>
  <si>
    <t xml:space="preserve">    Matières premières &amp; approv.</t>
  </si>
  <si>
    <t xml:space="preserve"> + Marchandises</t>
  </si>
  <si>
    <t xml:space="preserve"> + Encours prod. biens &amp; services</t>
  </si>
  <si>
    <t xml:space="preserve"> + Produits finis</t>
  </si>
  <si>
    <t xml:space="preserve">       pour mat. prem. &amp; approv.</t>
  </si>
  <si>
    <t xml:space="preserve">       pour marchandises</t>
  </si>
  <si>
    <t xml:space="preserve">       pour enc. prod. biens &amp; services</t>
  </si>
  <si>
    <t xml:space="preserve">       pour produits finis</t>
  </si>
  <si>
    <t>Clients nets</t>
  </si>
  <si>
    <t xml:space="preserve">   Clients &amp; cptes rattachés (bruts)</t>
  </si>
  <si>
    <t xml:space="preserve"> - Prov. sur clients &amp; cptes rattachés</t>
  </si>
  <si>
    <t>Autres créances nettes</t>
  </si>
  <si>
    <t xml:space="preserve">      Av./acptes sur commandes</t>
  </si>
  <si>
    <t xml:space="preserve">   + Autres créances &amp; cré. diverses</t>
  </si>
  <si>
    <t xml:space="preserve">   -  Prov. autres créances et cré. div.</t>
  </si>
  <si>
    <t xml:space="preserve">   -  Groupe &amp; associés (si inclus)</t>
  </si>
  <si>
    <t xml:space="preserve">   + Charges constatées d'avance</t>
  </si>
  <si>
    <t xml:space="preserve">   + Charges à répart. sur plus. exerc.</t>
  </si>
  <si>
    <t xml:space="preserve">   + Impôts diff. actif (cptes conso.)</t>
  </si>
  <si>
    <t xml:space="preserve">   + Ecart de conversion actif</t>
  </si>
  <si>
    <t>Valeurs mobilières de placement nettes</t>
  </si>
  <si>
    <t xml:space="preserve">   VMP brutes</t>
  </si>
  <si>
    <t xml:space="preserve"> - VMP nanties ou bloquées brutes</t>
  </si>
  <si>
    <t xml:space="preserve"> - Prov. sur VMP ni nanties ni bloquées</t>
  </si>
  <si>
    <t>Disponible</t>
  </si>
  <si>
    <t xml:space="preserve">   Disponibilités</t>
  </si>
  <si>
    <t xml:space="preserve"> - VMP nettes (si incluses)</t>
  </si>
  <si>
    <t>Hors bilan actif</t>
  </si>
  <si>
    <t xml:space="preserve"> + Autres variation de Fonds Propres</t>
  </si>
  <si>
    <t>dans Annexe 12 - Colonne 6</t>
  </si>
  <si>
    <t>dans Annexe 12 - Colonne 9</t>
  </si>
  <si>
    <t>dans Annexe 12 - Colonne 2</t>
  </si>
  <si>
    <t xml:space="preserve">    Engagements reçus</t>
  </si>
  <si>
    <t>Capital</t>
  </si>
  <si>
    <t xml:space="preserve">    Capital social</t>
  </si>
  <si>
    <t xml:space="preserve">  - Capital souscrit, ni appelé ni versé</t>
  </si>
  <si>
    <t xml:space="preserve"> + Prime d'émission, fusion ou apport</t>
  </si>
  <si>
    <t>Réserves</t>
  </si>
  <si>
    <t xml:space="preserve">    Réserves diverses</t>
  </si>
  <si>
    <t xml:space="preserve"> + Ecart de conversion (sur Fds Prop.)</t>
  </si>
  <si>
    <t xml:space="preserve"> + Ecart de consolidation</t>
  </si>
  <si>
    <t xml:space="preserve"> + Quasi-Fonds Propres</t>
  </si>
  <si>
    <t xml:space="preserve"> + Report à nouveau</t>
  </si>
  <si>
    <t>Bénéfice de l'exercice</t>
  </si>
  <si>
    <r>
      <t xml:space="preserve">  - Dividendes </t>
    </r>
    <r>
      <rPr>
        <sz val="8"/>
        <rFont val="Arial"/>
        <family val="2"/>
      </rPr>
      <t xml:space="preserve">(votés en A.G. au titre de "n") </t>
    </r>
  </si>
  <si>
    <t>Intérêts minoritaires (cptes consolidés)</t>
  </si>
  <si>
    <t xml:space="preserve">   Intérêts minoritaires (passif)</t>
  </si>
  <si>
    <t xml:space="preserve"> - Intérêts minor. (cpte de résultat)</t>
  </si>
  <si>
    <r>
      <t xml:space="preserve">Provisions pour risques et charges </t>
    </r>
    <r>
      <rPr>
        <b/>
        <sz val="9"/>
        <color indexed="24"/>
        <rFont val="Arial"/>
        <family val="2"/>
      </rPr>
      <t>(stables)</t>
    </r>
  </si>
  <si>
    <t>Dettes financières à long / moyen terme</t>
  </si>
  <si>
    <t xml:space="preserve">    Emprunts obligataires</t>
  </si>
  <si>
    <t xml:space="preserve"> + Emprunts auprès des éts de cdt</t>
  </si>
  <si>
    <t xml:space="preserve"> + Emprunts et dettes financières</t>
  </si>
  <si>
    <t xml:space="preserve"> -  Concours banc. courants (si inclus)</t>
  </si>
  <si>
    <t xml:space="preserve"> + Avances conditionnées</t>
  </si>
  <si>
    <t xml:space="preserve"> + Titres participatifs</t>
  </si>
  <si>
    <t xml:space="preserve"> + TSDI</t>
  </si>
  <si>
    <t xml:space="preserve">Variation de cash calculée au bilan </t>
  </si>
  <si>
    <t>Difference</t>
  </si>
  <si>
    <t xml:space="preserve"> + ORA</t>
  </si>
  <si>
    <t>Sociétés apparentées (passif)</t>
  </si>
  <si>
    <t>Groupe et associés passif</t>
  </si>
  <si>
    <t>Avances et acomptes reçus</t>
  </si>
  <si>
    <t>Fournisseurs</t>
  </si>
  <si>
    <t>Fournisseurs et comptes rattachés</t>
  </si>
  <si>
    <t>Autres dettes</t>
  </si>
  <si>
    <t xml:space="preserve">      Dettes fiscales et sociales</t>
  </si>
  <si>
    <t xml:space="preserve">   + Produits constatés d'avance</t>
  </si>
  <si>
    <t xml:space="preserve">   + Prov. Risques &amp; Ch. non stables</t>
  </si>
  <si>
    <t xml:space="preserve">   + Dettes sur immo. &amp; cptes rattach.</t>
  </si>
  <si>
    <t xml:space="preserve">   + Ecart de convers° (hors Fds Prop.)</t>
  </si>
  <si>
    <t xml:space="preserve">   + Dividendes restant à décaisser</t>
  </si>
  <si>
    <r>
      <t xml:space="preserve">   + Impôts différés passif </t>
    </r>
    <r>
      <rPr>
        <sz val="9"/>
        <rFont val="Arial"/>
        <family val="2"/>
      </rPr>
      <t>(cptes conso.)</t>
    </r>
  </si>
  <si>
    <t>Concours bancaires de trésorerie</t>
  </si>
  <si>
    <t xml:space="preserve">      Concours bancaires courants</t>
  </si>
  <si>
    <t>Hors bilan passif</t>
  </si>
  <si>
    <t>FV</t>
  </si>
  <si>
    <t>FW</t>
  </si>
  <si>
    <t>HP</t>
  </si>
  <si>
    <t>FO</t>
  </si>
  <si>
    <t>% des exportations</t>
  </si>
  <si>
    <t>FK</t>
  </si>
  <si>
    <t>dont exportations</t>
  </si>
  <si>
    <t xml:space="preserve"> CA / Total Actif (en X)</t>
  </si>
  <si>
    <t xml:space="preserve"> Total Actif / Fonds Propres (en X)</t>
  </si>
  <si>
    <t xml:space="preserve"> Résultat économique / CA</t>
  </si>
  <si>
    <t xml:space="preserve"> Dettes financières MLT / EBE (en années)</t>
  </si>
  <si>
    <t xml:space="preserve"> Dettes financières Court Terme (yc part CT de la Dette LT)</t>
  </si>
  <si>
    <t xml:space="preserve">      Effets escomptés non échus</t>
  </si>
  <si>
    <t xml:space="preserve">      Engagements de crédit-bail</t>
  </si>
  <si>
    <r>
      <t xml:space="preserve">      Autres </t>
    </r>
    <r>
      <rPr>
        <sz val="8"/>
        <color indexed="51"/>
        <rFont val="Arial"/>
        <family val="2"/>
      </rPr>
      <t>(à détailler sur "Etatsfin" si besoin)</t>
    </r>
  </si>
  <si>
    <t>Contrôle Actif =? Passif</t>
  </si>
  <si>
    <t>Si erreur, Actif - Passif = ?</t>
  </si>
  <si>
    <t>Chiffre d'affaires</t>
  </si>
  <si>
    <t xml:space="preserve"> + Production stockée</t>
  </si>
  <si>
    <t xml:space="preserve"> + Production immobilisée</t>
  </si>
  <si>
    <r>
      <t xml:space="preserve"> + Autres produits</t>
    </r>
    <r>
      <rPr>
        <sz val="9"/>
        <rFont val="Arial"/>
        <family val="2"/>
      </rPr>
      <t xml:space="preserve"> </t>
    </r>
    <r>
      <rPr>
        <b/>
        <sz val="9"/>
        <rFont val="Arial"/>
        <family val="2"/>
      </rPr>
      <t>(pas de pduits "non-cash")</t>
    </r>
  </si>
  <si>
    <t xml:space="preserve"> = Production</t>
  </si>
  <si>
    <t xml:space="preserve"> - Achats &amp; sous-traitance</t>
  </si>
  <si>
    <t xml:space="preserve">    Achats de marchandises</t>
  </si>
  <si>
    <t xml:space="preserve"> + Achats de mat. prem. &amp; approv.</t>
  </si>
  <si>
    <t xml:space="preserve"> + Sous-traitance</t>
  </si>
  <si>
    <t xml:space="preserve"> + Variation de stock de marchandises</t>
  </si>
  <si>
    <t xml:space="preserve"> = Marge commerciale</t>
  </si>
  <si>
    <t xml:space="preserve"> - Charges de personnel</t>
  </si>
  <si>
    <t xml:space="preserve">    Salaires et traitements</t>
  </si>
  <si>
    <t xml:space="preserve"> + Charges sociales</t>
  </si>
  <si>
    <t xml:space="preserve"> + Personnel extérieur</t>
  </si>
  <si>
    <t xml:space="preserve"> + Rémunération intérim. et intérméd.</t>
  </si>
  <si>
    <t xml:space="preserve"> - Autres charges</t>
  </si>
  <si>
    <t xml:space="preserve">    Autres achats &amp; charges externes</t>
  </si>
  <si>
    <t xml:space="preserve">  - Sous-traitance</t>
  </si>
  <si>
    <t xml:space="preserve">  - Personnel extérieur</t>
  </si>
  <si>
    <t xml:space="preserve">  - Rémunérat. intérim. et intérméd.</t>
  </si>
  <si>
    <t xml:space="preserve">  - Annuités de crédit-bail</t>
  </si>
  <si>
    <t xml:space="preserve"> + Autres charges</t>
  </si>
  <si>
    <t xml:space="preserve"> + Impôts &amp; taxes</t>
  </si>
  <si>
    <t>ce poste est généralement compris dans les autres créances de l'actif circulant: on en trouve le détail  dans les annexes des états financiers (sinon info à demander aux entreprises)</t>
  </si>
  <si>
    <t>à vérifier dans les annexes des états financiers ou à demander aux entreprises</t>
  </si>
  <si>
    <t>bénéfice après dividendes versés ou à verser au titre de ce bénéfice (pour obtenir des FP après distribution, contrairement aux comptes français qui sont généralement présentés avant distribution)</t>
  </si>
  <si>
    <t>il s'agit ici du résultat net "global", groupe et minoritaire</t>
  </si>
  <si>
    <t>à saisir à partir des annexes des états financiers ou à demander aux entreprises</t>
  </si>
  <si>
    <t>à saisir si le poste "intérêts mino." de la ligne 93 comprend la part des mino. du résultat net déjà inclu dans la ligne 90 "résultat net publié"</t>
  </si>
  <si>
    <t>remplir si l'information est disponible</t>
  </si>
  <si>
    <t>on peut aussi saisir ces "avances" en quasi fonds propres ligne 87 si l'on a la certitude que ces avances d'actionnaires seront apportées (ou ont été apportées) à une augmentation de capital (si incertitude, à laisser en dettes financière)</t>
  </si>
  <si>
    <t xml:space="preserve">à saisir ici lorsqu'ils ont plus un caractère de dettes que de fonds propres =&gt; sinon à classer plutôt en quasi-fonds propres, ligne 87 (quasi-FP si disponibles pour le financement à LT/pérenne de la sté) </t>
  </si>
  <si>
    <t>à saisir ici par exception car en général, les ORA n'étant remboursés qu'en actions  participent donc du financement pérenne de l'entreprise et doivent plutôt être saisis en quasi-FP ligne 87</t>
  </si>
  <si>
    <r>
      <t xml:space="preserve">ces dettes "groupe et associés" sont généralement incluses dans les </t>
    </r>
    <r>
      <rPr>
        <i/>
        <sz val="10"/>
        <rFont val="Arial Narrow"/>
        <family val="2"/>
      </rPr>
      <t>dettes financières MLT</t>
    </r>
    <r>
      <rPr>
        <sz val="10"/>
        <rFont val="Arial Narrow"/>
        <family val="2"/>
      </rPr>
      <t xml:space="preserve"> ou dans les </t>
    </r>
    <r>
      <rPr>
        <i/>
        <sz val="10"/>
        <rFont val="Arial Narrow"/>
        <family val="2"/>
      </rPr>
      <t>autres dettes</t>
    </r>
    <r>
      <rPr>
        <sz val="10"/>
        <rFont val="Arial Narrow"/>
        <family val="2"/>
      </rPr>
      <t xml:space="preserve"> circulantes des états financiers de l'entreprise. On les reclasse ici du fait de leur caractère financier</t>
    </r>
  </si>
  <si>
    <t>autres dettes des états financiers de l'entreprise desquelles on aura préalablement déduit les dettes "groupes et associés", reclassées ligne 109</t>
  </si>
  <si>
    <t>à vérifier dans les états financiers, à demander à l'entreprise, ou à déduire (souvent égal au dividende ligne 91)</t>
  </si>
  <si>
    <t>erreur affichée si la saisie est incomplète ou imparfaite</t>
  </si>
  <si>
    <t>un signe positif sur ce poste signifie une augmentation des stocks à l'actif (un signe "-"= un déstockage)</t>
  </si>
  <si>
    <t>à saisir à partir des annexes de la liasse fiscale détaillant les "autres achats et charges externes"</t>
  </si>
  <si>
    <t>attention à la convention de signe: la saisie de poste s'effectue à l'inverse du signe de la liasse fiscale</t>
  </si>
  <si>
    <t>élimination des informations annexes au compte de résultats saisies ligne 140</t>
  </si>
  <si>
    <t>élimination des informations annexes au compte de résultats saisies ligne 148</t>
  </si>
  <si>
    <t>élimination des informations annexes au compte de résultats saisies ligne 149</t>
  </si>
  <si>
    <t>élimination des informations annexes au compte de résultats saisies lignes 169 et 170</t>
  </si>
  <si>
    <t>pour les résultats d'opérations à caractère non durable/récurrent (sinon à placer en autres produits ou autres charges d'exploitation)</t>
  </si>
  <si>
    <t>permet de faire la somme de tous les postes de la liasse non repris précédemment</t>
  </si>
  <si>
    <t>souvent égal aux produits exceptionnels sur opérations en capital (dans le CR des liasses fiscales)</t>
  </si>
  <si>
    <t>souvent = aux charges exceptionnelles sur opérations en capital (dans le CR des liasses fiscales) - la VNC des immos d'expl. cédées</t>
  </si>
  <si>
    <t>en annexe dans les liasses fiscales, dans les tableaux de trésorerie ou dans les annexes sur les dettes financières des rapports annuels</t>
  </si>
  <si>
    <t>"part à moins d'un an des DLMT": en annexe dans les liasses fiscales</t>
  </si>
  <si>
    <t>repris à partir du tableau de saisie ci-dessus</t>
  </si>
  <si>
    <t>à saisir dans le reste du tableau ci-dessus</t>
  </si>
  <si>
    <t>à saisir: généralement égale à la VBC des titres cédés (ligne 198)</t>
  </si>
  <si>
    <t xml:space="preserve">ACTIF </t>
  </si>
  <si>
    <t>Nature bilan</t>
  </si>
  <si>
    <t>Date d'arrêté (N)</t>
  </si>
  <si>
    <t>Date d'arrêté (N-1)</t>
  </si>
  <si>
    <t>N-2</t>
  </si>
  <si>
    <t>Montants Bruts
(KDZD)</t>
  </si>
  <si>
    <t>Amortissements, provisions et pertes de valeurs (KDZD)</t>
  </si>
  <si>
    <t>Net
(KDZD)</t>
  </si>
  <si>
    <t xml:space="preserve">Montants Bruts
(KDZD) </t>
  </si>
  <si>
    <t>ACTIFS NON COURANTS</t>
  </si>
  <si>
    <t>Ecart d’acquisition – goodwill positif ou négatif</t>
  </si>
  <si>
    <t>Immobilisations incorporelles</t>
  </si>
  <si>
    <t>Immobilisations corporelles</t>
  </si>
  <si>
    <t>Terrains</t>
  </si>
  <si>
    <t>Bâtiments</t>
  </si>
  <si>
    <t>Autres immobilisations corporelles</t>
  </si>
  <si>
    <t>Immobilisations en concession</t>
  </si>
  <si>
    <t>Immobilisations en cours</t>
  </si>
  <si>
    <t>Immobilisations financières</t>
  </si>
  <si>
    <t>Titres mis en équivalence</t>
  </si>
  <si>
    <t>Autres participations et créances rattachées</t>
  </si>
  <si>
    <t>Autres titres immobilisés</t>
  </si>
  <si>
    <t>Prêts et autres actifs financiers non courants</t>
  </si>
  <si>
    <t>Impôts différés actif</t>
  </si>
  <si>
    <t>TOTAL ACTIF NON COURANT</t>
  </si>
  <si>
    <t>ACTIFS COURANTS</t>
  </si>
  <si>
    <t>Stocks et encours</t>
  </si>
  <si>
    <t>Créances et emplois assimilés</t>
  </si>
  <si>
    <t>Clients</t>
  </si>
  <si>
    <t>Autres débiteurs</t>
  </si>
  <si>
    <t>Impôts et assimilés</t>
  </si>
  <si>
    <t>Autres créances et emplois assimilés</t>
  </si>
  <si>
    <t>Disponibilités et assimilés</t>
  </si>
  <si>
    <t>Placements et autres actifs financiers courants</t>
  </si>
  <si>
    <t>Trésorerie</t>
  </si>
  <si>
    <t>TOTAL ACTIF COURANT</t>
  </si>
  <si>
    <t>TOTAL GENERAL ACTIF</t>
  </si>
  <si>
    <t>CAPITAUX PROPRES :</t>
  </si>
  <si>
    <t>Capital émis</t>
  </si>
  <si>
    <t>Capital non appelé</t>
  </si>
  <si>
    <t>Primes et réserves- Réserves consolidées(1)</t>
  </si>
  <si>
    <t>Ecarts de réévaluation</t>
  </si>
  <si>
    <t>Ecart d’équivalence (1)</t>
  </si>
  <si>
    <t>Résultat net - Résultat net part du groupe (1)</t>
  </si>
  <si>
    <t>Autres capitaux propres – Report à nouveau</t>
  </si>
  <si>
    <t>Part de la société consolidante (1)</t>
  </si>
  <si>
    <t>Part des minoritaires (1)</t>
  </si>
  <si>
    <t>TOTAL I (KDZD)</t>
  </si>
  <si>
    <t>PASSIFS NON-COURANTS :</t>
  </si>
  <si>
    <t>Emprunts et dettes financières</t>
  </si>
  <si>
    <t>Impôts (différés et provisionnés)</t>
  </si>
  <si>
    <t>Autres dettes non courantes</t>
  </si>
  <si>
    <t>Provisions et produits constatés d’avance</t>
  </si>
  <si>
    <t>TOTAL II (KDZD)</t>
  </si>
  <si>
    <t>PASSIFS COURANTS :</t>
  </si>
  <si>
    <t>Impôts</t>
  </si>
  <si>
    <t>Trésorerie Passif</t>
  </si>
  <si>
    <t>TOTAL III (KDZD)</t>
  </si>
  <si>
    <t>TOTAL PASSIF (I+II+III) (KDZD)</t>
  </si>
  <si>
    <t>(1) à utiliser uniquement pour la présentation d’états financiers consolidés</t>
  </si>
  <si>
    <t xml:space="preserve">Rubriques </t>
  </si>
  <si>
    <t xml:space="preserve">DEBIT 
(en Dinars) </t>
  </si>
  <si>
    <t>CREDIT 
(en Dinars)</t>
  </si>
  <si>
    <t xml:space="preserve">DEBIT 
(KDZD) </t>
  </si>
  <si>
    <t>CREDIT 
(KDZD)</t>
  </si>
  <si>
    <t>Ventes de marchandises</t>
  </si>
  <si>
    <t>Production 
vendue</t>
  </si>
  <si>
    <t>Produits fabriqués</t>
  </si>
  <si>
    <t>Prestations de services</t>
  </si>
  <si>
    <t>Vente de travaux</t>
  </si>
  <si>
    <t>Produits annexes</t>
  </si>
  <si>
    <t>Rabais, remises, ristournes accordés</t>
  </si>
  <si>
    <t>Chiffre d’affaires net des Rabais, remises, ristournes</t>
  </si>
  <si>
    <t>Production stockée ou déstockée</t>
  </si>
  <si>
    <t>Production immobilisée</t>
  </si>
  <si>
    <t>Subventions d’exploitation</t>
  </si>
  <si>
    <t>I-Production de l’exercice</t>
  </si>
  <si>
    <t>Achats de marchandises vendues</t>
  </si>
  <si>
    <t>Matières premières</t>
  </si>
  <si>
    <t>Autres approvisionnements</t>
  </si>
  <si>
    <t>Variations des stocks</t>
  </si>
  <si>
    <t>Achats d’études et de prestations de services</t>
  </si>
  <si>
    <t>Autres consommations</t>
  </si>
  <si>
    <t>Rabais, remises, ristournes obtenus sur achats</t>
  </si>
  <si>
    <t>Services 
extérieurs</t>
  </si>
  <si>
    <t>Sous-traitance générale</t>
  </si>
  <si>
    <t>Locations</t>
  </si>
  <si>
    <t>Entretien, réparations et maintenance</t>
  </si>
  <si>
    <t>Primes d'assurances</t>
  </si>
  <si>
    <t>Personnel extérieur à l’entreprise</t>
  </si>
  <si>
    <t>Rémunération d’intermédiaires et honoraires</t>
  </si>
  <si>
    <t>Publicité</t>
  </si>
  <si>
    <t>Déplacements, missions et réceptions</t>
  </si>
  <si>
    <t>Autres services</t>
  </si>
  <si>
    <t>Rabais, remises, ristournes obtenus sur services extérieurs</t>
  </si>
  <si>
    <t>II-Consommations de l’exercice</t>
  </si>
  <si>
    <t>III-Valeur ajoutée d’exploitation (I–II)</t>
  </si>
  <si>
    <t>Charges de personnel</t>
  </si>
  <si>
    <t xml:space="preserve">Impôts et taxes et versements assimilés </t>
  </si>
  <si>
    <t>IV-Excédent brut d’exploitation</t>
  </si>
  <si>
    <t>Autres produits opérationnels</t>
  </si>
  <si>
    <t>Autres charges opérationnelles</t>
  </si>
  <si>
    <t>Dotations aux amortissements</t>
  </si>
  <si>
    <t>Provision</t>
  </si>
  <si>
    <t>Pertes de valeur</t>
  </si>
  <si>
    <t xml:space="preserve">Reprise sur pertes de valeur et provisions </t>
  </si>
  <si>
    <t>V-Résultat opérationnel</t>
  </si>
  <si>
    <t>Produits financiers</t>
  </si>
  <si>
    <t>Charges financières</t>
  </si>
  <si>
    <t>VI-Résultat financier</t>
  </si>
  <si>
    <t>VII-Résultat ordinaire (V+VI)</t>
  </si>
  <si>
    <t>Eléments extraordinaires (produits) (*)</t>
  </si>
  <si>
    <t>Eléments extraordinaires (Charges) (*)</t>
  </si>
  <si>
    <t>VIII-Résultat extraordinaire</t>
  </si>
  <si>
    <t>Impôts exigibles sur résultats</t>
  </si>
  <si>
    <t>Impôts différés (variations) sur résultats</t>
  </si>
  <si>
    <t>IX - RESULTAT NET DE L’EXERCICE</t>
  </si>
  <si>
    <t>Date d'arrêté (N-2)</t>
  </si>
  <si>
    <t>Date d'arrêté (N-3)</t>
  </si>
  <si>
    <t>Date d'arrêté (N-4)</t>
  </si>
  <si>
    <t>N</t>
  </si>
  <si>
    <t>N-1</t>
  </si>
  <si>
    <t>N-3</t>
  </si>
  <si>
    <t>N-4</t>
  </si>
  <si>
    <t>Raison sociale</t>
  </si>
  <si>
    <t>NIF</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</si>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</sst>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164" formatCode="_ * #,##0.00_)_F_ ;_ * \(#,##0.00\)_F_ ;_ * &quot;-&quot;??_)_F_ ;_ @_ "/>
    <numFmt numFmtId="165" formatCode="0.0%"/>
    <numFmt numFmtId="166" formatCode="0.0"/>
    <numFmt numFmtId="167" formatCode="#,##0.0;\(#,##0.0\)"/>
    <numFmt numFmtId="168" formatCode="#,##0.0"/>
    <numFmt numFmtId="169" formatCode="#,##0.0;\(#,##0.0\)\."/>
    <numFmt numFmtId="170" formatCode="#,##0.0;\-#,##0.0"/>
    <numFmt numFmtId="171" formatCode="#,##0%;\(#,##0%\)"/>
    <numFmt numFmtId="172" formatCode="#,##0;\(#,##0\)"/>
    <numFmt numFmtId="173" formatCode="#,##0.0%;\(#,##0.0%\)"/>
    <numFmt numFmtId="174" formatCode="\&lt;#,##0.0\&gt;;\&lt;\-#,##0.0\&gt;"/>
    <numFmt numFmtId="175" formatCode="0.0%;[Red]\(0.0%\)"/>
    <numFmt numFmtId="176" formatCode="#,##0.0_);[Red]\(#,##0.0\)"/>
    <numFmt numFmtId="177" formatCode="#,##0.0;[Red]\(#,##0.0\)"/>
    <numFmt numFmtId="178" formatCode="0.000"/>
    <numFmt numFmtId="179" formatCode="#,##0.0_);[Red]&quot;Négatif !&quot;"/>
    <numFmt numFmtId="180" formatCode="\&lt;#,##0.0_)\&gt;;[Red]&quot;Négatif !&quot;"/>
    <numFmt numFmtId="181" formatCode="0.0%;[Red]&quot;Négatif !&quot;"/>
    <numFmt numFmtId="182" formatCode="#,##0.0;[Red]&quot;Négatif !&quot;"/>
    <numFmt numFmtId="183" formatCode="#,##0_);[Red]&quot;Négatif !&quot;"/>
    <numFmt numFmtId="184" formatCode="\&lt;#,##0.0\&gt;;[Red]&quot;Négatif !&quot;"/>
    <numFmt numFmtId="185" formatCode="#,##0;[Red]&quot;Négatif !&quot;"/>
    <numFmt numFmtId="186" formatCode="#,##0.000_);[Red]&quot;Négatif !&quot;"/>
    <numFmt numFmtId="187" formatCode="mm/yyyy"/>
    <numFmt numFmtId="188" formatCode="mm\ /\ yyyy"/>
    <numFmt numFmtId="189" formatCode="yyyy"/>
    <numFmt numFmtId="190" formatCode="#,##0.0_);\(#,##0.0\)"/>
    <numFmt numFmtId="191" formatCode="#,##0.0000;[Red]\(#,##0.0000\)"/>
    <numFmt numFmtId="192" formatCode="#,##0.0_);[Red]\ \(#,##0.0\)"/>
    <numFmt numFmtId="193" formatCode="d\-mmm\-yy"/>
    <numFmt numFmtId="194" formatCode="_ * #,##0.0_)_F_ ;_ * \(#,##0.0\)_F_ ;_ * &quot;-&quot;??_)_F_ ;_ @_ "/>
    <numFmt numFmtId="195" formatCode="#,##0.0000;[Red]&quot;Négatif !&quot;"/>
    <numFmt numFmtId="196" formatCode="#,##0.000"/>
  </numFmts>
  <fonts count="189" x14ac:knownFonts="1">
    <font>
      <sz val="10"/>
      <name val="Arial"/>
    </font>
    <font>
      <b/>
      <sz val="10"/>
      <name val="Arial"/>
      <family val="2"/>
    </font>
    <font>
      <i/>
      <sz val="10"/>
      <name val="Arial"/>
      <family val="2"/>
    </font>
    <font>
      <b/>
      <i/>
      <sz val="10"/>
      <name val="Arial"/>
      <family val="2"/>
    </font>
    <font>
      <sz val="10"/>
      <name val="Arial"/>
      <family val="2"/>
    </font>
    <font>
      <sz val="10"/>
      <name val="Arial"/>
      <family val="2"/>
    </font>
    <font>
      <sz val="10"/>
      <name val="Arial"/>
      <family val="2"/>
    </font>
    <font>
      <b/>
      <sz val="10"/>
      <name val="Arial"/>
      <family val="2"/>
    </font>
    <font>
      <b/>
      <sz val="8"/>
      <name val="Arial"/>
      <family val="2"/>
    </font>
    <font>
      <sz val="8"/>
      <name val="Arial"/>
      <family val="2"/>
    </font>
    <font>
      <sz val="8"/>
      <name val="Arial"/>
      <family val="2"/>
    </font>
    <font>
      <b/>
      <sz val="8"/>
      <color rgb="FF1E2B26"/>
      <name val="Arial"/>
      <family val="2"/>
    </font>
    <font>
      <b/>
      <sz val="11"/>
      <color rgb="FF1E2B26"/>
      <name val="Arial"/>
      <family val="2"/>
    </font>
    <font>
      <sz val="10"/>
      <name val="Arial"/>
      <family val="2"/>
    </font>
    <font>
      <b/>
      <u/>
      <sz val="16"/>
      <color rgb="FF1E2B26"/>
      <name val="Arial"/>
      <family val="2"/>
    </font>
    <font>
      <sz val="8"/>
      <color rgb="FF1E2B26"/>
      <name val="Arial"/>
      <family val="2"/>
    </font>
    <font>
      <b/>
      <u/>
      <sz val="11"/>
      <color rgb="FF1F4E9A"/>
      <name val="Arial"/>
      <family val="2"/>
    </font>
    <font>
      <b/>
      <u/>
      <sz val="11"/>
      <name val="Arial"/>
      <family val="2"/>
    </font>
    <font>
      <b/>
      <sz val="10"/>
      <color rgb="FF4A6FA5"/>
      <name val="Arial"/>
      <family val="2"/>
    </font>
    <font>
      <sz val="10"/>
      <color rgb="FF4A6FA5"/>
      <name val="Arial"/>
      <family val="2"/>
    </font>
    <font>
      <sz val="10"/>
      <color rgb="FF4A6FA5"/>
      <name val="Arial"/>
      <family val="2"/>
    </font>
    <font>
      <i/>
      <sz val="9"/>
      <name val="Arial"/>
      <family val="2"/>
    </font>
    <font>
      <i/>
      <sz val="10"/>
      <name val="Arial"/>
      <family val="2"/>
    </font>
    <font>
      <sz val="9"/>
      <name val="Arial"/>
      <family val="2"/>
    </font>
    <font>
      <i/>
      <sz val="9"/>
      <color indexed="9"/>
      <name val="Arial"/>
      <family val="2"/>
    </font>
    <font>
      <sz val="10"/>
      <color indexed="9"/>
      <name val="Arial"/>
      <family val="2"/>
    </font>
    <font>
      <sz val="8"/>
      <color indexed="51"/>
      <name val="Arial"/>
      <family val="2"/>
    </font>
    <font>
      <u/>
      <sz val="10"/>
      <name val="Arial"/>
      <family val="2"/>
    </font>
    <font>
      <b/>
      <i/>
      <sz val="10"/>
      <color rgb="FFC00000"/>
      <name val="Arial"/>
      <family val="2"/>
    </font>
    <font>
      <b/>
      <i/>
      <sz val="10"/>
      <name val="Arial"/>
      <family val="2"/>
    </font>
    <font>
      <b/>
      <sz val="9"/>
      <name val="Arial"/>
      <family val="2"/>
    </font>
    <font>
      <i/>
      <sz val="9"/>
      <name val="Arial"/>
      <family val="2"/>
    </font>
    <font>
      <b/>
      <sz val="8"/>
      <color rgb="FFC00000"/>
      <name val="Arial"/>
      <family val="2"/>
    </font>
    <font>
      <b/>
      <u/>
      <sz val="10"/>
      <name val="Arial"/>
      <family val="2"/>
    </font>
    <font>
      <u/>
      <sz val="8"/>
      <name val="Arial"/>
      <family val="2"/>
    </font>
    <font>
      <b/>
      <sz val="11"/>
      <name val="Arial"/>
      <family val="2"/>
    </font>
    <font>
      <sz val="11"/>
      <name val="Arial"/>
      <family val="2"/>
    </font>
    <font>
      <i/>
      <sz val="11"/>
      <name val="Arial"/>
      <family val="2"/>
    </font>
    <font>
      <sz val="11"/>
      <color rgb="FFC00000"/>
      <name val="Arial"/>
      <family val="2"/>
    </font>
    <font>
      <b/>
      <sz val="11"/>
      <color rgb="FFC00000"/>
      <name val="Arial"/>
      <family val="2"/>
    </font>
    <font>
      <b/>
      <i/>
      <sz val="11"/>
      <name val="Arial"/>
      <family val="2"/>
    </font>
    <font>
      <b/>
      <sz val="11"/>
      <color rgb="FF2E86AB"/>
      <name val="Arial"/>
      <family val="2"/>
    </font>
    <font>
      <sz val="11"/>
      <color rgb="FF2E86AB"/>
      <name val="Arial"/>
      <family val="2"/>
    </font>
    <font>
      <b/>
      <sz val="11"/>
      <color rgb="FF1F4E9A"/>
      <name val="Arial"/>
      <family val="2"/>
    </font>
    <font>
      <b/>
      <i/>
      <sz val="11"/>
      <color rgb="FF1E2B26"/>
      <name val="Arial"/>
      <family val="2"/>
    </font>
    <font>
      <sz val="11"/>
      <color rgb="FF1E2B26"/>
      <name val="Arial"/>
      <family val="2"/>
    </font>
    <font>
      <sz val="11"/>
      <name val="Arial"/>
      <family val="2"/>
    </font>
    <font>
      <u/>
      <sz val="11"/>
      <name val="Arial"/>
      <family val="2"/>
    </font>
    <font>
      <b/>
      <sz val="11"/>
      <name val="Arial"/>
      <family val="2"/>
    </font>
    <font>
      <sz val="11"/>
      <color rgb="FF00915A"/>
      <name val="Arial"/>
      <family val="2"/>
    </font>
    <font>
      <b/>
      <sz val="11"/>
      <color indexed="9"/>
      <name val="Arial"/>
      <family val="2"/>
    </font>
    <font>
      <b/>
      <sz val="22"/>
      <name val="Arial"/>
      <family val="2"/>
    </font>
    <font>
      <sz val="11"/>
      <color indexed="47"/>
      <name val="Arial"/>
      <family val="2"/>
    </font>
    <font>
      <b/>
      <sz val="12"/>
      <name val="Arial"/>
      <family val="2"/>
    </font>
    <font>
      <b/>
      <sz val="12"/>
      <color rgb="FF00915A"/>
      <name val="Arial"/>
      <family val="2"/>
    </font>
    <font>
      <b/>
      <sz val="12"/>
      <color rgb="FF1F4E9A"/>
      <name val="Arial"/>
      <family val="2"/>
    </font>
    <font>
      <sz val="12"/>
      <name val="Arial"/>
      <family val="2"/>
    </font>
    <font>
      <b/>
      <sz val="12"/>
      <color indexed="48"/>
      <name val="Arial"/>
      <family val="2"/>
    </font>
    <font>
      <b/>
      <sz val="11"/>
      <color rgb="FF00915A"/>
      <name val="Arial"/>
      <family val="2"/>
    </font>
    <font>
      <sz val="11"/>
      <color indexed="9"/>
      <name val="Arial"/>
      <family val="2"/>
    </font>
    <font>
      <i/>
      <u/>
      <sz val="11"/>
      <name val="Arial"/>
      <family val="2"/>
    </font>
    <font>
      <sz val="11"/>
      <color indexed="48"/>
      <name val="Arial"/>
      <family val="2"/>
    </font>
    <font>
      <sz val="10"/>
      <color rgb="FFC00000"/>
      <name val="Arial"/>
      <family val="2"/>
    </font>
    <font>
      <b/>
      <i/>
      <sz val="11"/>
      <name val="Arial"/>
      <family val="2"/>
    </font>
    <font>
      <b/>
      <i/>
      <sz val="11"/>
      <color rgb="FF1E2B26"/>
      <name val="Arial"/>
      <family val="2"/>
    </font>
    <font>
      <b/>
      <sz val="10"/>
      <color rgb="FF1E2B26"/>
      <name val="Arial"/>
      <family val="2"/>
    </font>
    <font>
      <b/>
      <sz val="10"/>
      <color rgb="FFC00000"/>
      <name val="Arial"/>
      <family val="2"/>
    </font>
    <font>
      <sz val="11"/>
      <color rgb="FFC00000"/>
      <name val="Arial"/>
      <family val="2"/>
    </font>
    <font>
      <b/>
      <sz val="12"/>
      <name val="Arial"/>
      <family val="2"/>
    </font>
    <font>
      <b/>
      <sz val="8"/>
      <name val="Arial"/>
      <family val="2"/>
    </font>
    <font>
      <b/>
      <sz val="11"/>
      <color rgb="FF00915A"/>
      <name val="Arial"/>
      <family val="2"/>
    </font>
    <font>
      <b/>
      <i/>
      <sz val="9"/>
      <color rgb="FFC00000"/>
      <name val="Arial"/>
      <family val="2"/>
    </font>
    <font>
      <i/>
      <sz val="9"/>
      <color rgb="FFC00000"/>
      <name val="Arial"/>
      <family val="2"/>
    </font>
    <font>
      <b/>
      <i/>
      <sz val="10"/>
      <color rgb="FF4A6FA5"/>
      <name val="Arial"/>
      <family val="2"/>
    </font>
    <font>
      <b/>
      <sz val="11"/>
      <color rgb="FF1E2B26"/>
      <name val="Arial"/>
      <family val="2"/>
    </font>
    <font>
      <i/>
      <sz val="11"/>
      <name val="Arial"/>
      <family val="2"/>
    </font>
    <font>
      <sz val="11"/>
      <color rgb="FF1E2B26"/>
      <name val="Arial"/>
      <family val="2"/>
    </font>
    <font>
      <sz val="11"/>
      <color rgb="FF2E86AB"/>
      <name val="Arial"/>
      <family val="2"/>
    </font>
    <font>
      <b/>
      <u/>
      <sz val="11"/>
      <color rgb="FF1E2B26"/>
      <name val="Arial"/>
      <family val="2"/>
    </font>
    <font>
      <b/>
      <i/>
      <sz val="12"/>
      <color rgb="FF1E2B26"/>
      <name val="Arial"/>
      <family val="2"/>
    </font>
    <font>
      <sz val="12"/>
      <color rgb="FF1E2B26"/>
      <name val="Arial"/>
      <family val="2"/>
    </font>
    <font>
      <b/>
      <sz val="12"/>
      <color rgb="FF1E2B26"/>
      <name val="Arial"/>
      <family val="2"/>
    </font>
    <font>
      <b/>
      <i/>
      <u/>
      <sz val="11"/>
      <color rgb="FF1E2B26"/>
      <name val="Arial"/>
      <family val="2"/>
    </font>
    <font>
      <sz val="9"/>
      <color rgb="FFC00000"/>
      <name val="Arial"/>
      <family val="2"/>
    </font>
    <font>
      <u/>
      <sz val="11"/>
      <color rgb="FF1E2B26"/>
      <name val="Arial"/>
      <family val="2"/>
    </font>
    <font>
      <i/>
      <sz val="11"/>
      <color rgb="FF1E2B26"/>
      <name val="Arial"/>
      <family val="2"/>
    </font>
    <font>
      <sz val="10"/>
      <color rgb="FF1E2B26"/>
      <name val="Arial"/>
      <family val="2"/>
    </font>
    <font>
      <sz val="9"/>
      <color rgb="FF1E2B26"/>
      <name val="Arial"/>
      <family val="2"/>
    </font>
    <font>
      <i/>
      <u/>
      <sz val="11"/>
      <color rgb="FF1E2B26"/>
      <name val="Arial"/>
      <family val="2"/>
    </font>
    <font>
      <sz val="11"/>
      <color indexed="9"/>
      <name val="Arial"/>
      <family val="2"/>
    </font>
    <font>
      <b/>
      <u/>
      <sz val="11"/>
      <color rgb="FFC00000"/>
      <name val="Arial"/>
      <family val="2"/>
    </font>
    <font>
      <i/>
      <sz val="11"/>
      <color rgb="FF1E2B26"/>
      <name val="Arial"/>
      <family val="2"/>
    </font>
    <font>
      <b/>
      <sz val="11"/>
      <color rgb="FF1F4E9A"/>
      <name val="Arial"/>
      <family val="2"/>
    </font>
    <font>
      <b/>
      <sz val="11"/>
      <color rgb="FF2E86AB"/>
      <name val="Arial"/>
      <family val="2"/>
    </font>
    <font>
      <b/>
      <u/>
      <sz val="11"/>
      <color rgb="FF1E2B26"/>
      <name val="Arial"/>
      <family val="2"/>
    </font>
    <font>
      <b/>
      <sz val="11"/>
      <color rgb="FF1F4E9A"/>
      <name val="Arial"/>
      <family val="2"/>
    </font>
    <font>
      <b/>
      <i/>
      <sz val="11"/>
      <color rgb="FFC00000"/>
      <name val="Arial"/>
      <family val="2"/>
    </font>
    <font>
      <b/>
      <i/>
      <sz val="12"/>
      <color rgb="FF1F4E9A"/>
      <name val="Arial"/>
      <family val="2"/>
    </font>
    <font>
      <b/>
      <i/>
      <u/>
      <sz val="12"/>
      <color rgb="FF1E2B26"/>
      <name val="Arial"/>
      <family val="2"/>
    </font>
    <font>
      <b/>
      <i/>
      <u/>
      <sz val="11"/>
      <name val="Arial"/>
      <family val="2"/>
    </font>
    <font>
      <b/>
      <i/>
      <u/>
      <sz val="11"/>
      <color rgb="FF1F4E9A"/>
      <name val="Arial"/>
      <family val="2"/>
    </font>
    <font>
      <sz val="11"/>
      <color rgb="FF1F4E9A"/>
      <name val="Arial"/>
      <family val="2"/>
    </font>
    <font>
      <sz val="9"/>
      <color rgb="FF1F4E9A"/>
      <name val="Arial"/>
      <family val="2"/>
    </font>
    <font>
      <i/>
      <u/>
      <sz val="10"/>
      <color rgb="FF1E2B26"/>
      <name val="Arial"/>
      <family val="2"/>
    </font>
    <font>
      <b/>
      <i/>
      <sz val="10"/>
      <color rgb="FF1E2B26"/>
      <name val="Arial"/>
      <family val="2"/>
    </font>
    <font>
      <i/>
      <sz val="10"/>
      <color rgb="FF1E2B26"/>
      <name val="Arial"/>
      <family val="2"/>
    </font>
    <font>
      <i/>
      <sz val="10"/>
      <color rgb="FF1F4E9A"/>
      <name val="Arial"/>
      <family val="2"/>
    </font>
    <font>
      <i/>
      <sz val="10"/>
      <color rgb="FF00915A"/>
      <name val="Arial"/>
      <family val="2"/>
    </font>
    <font>
      <b/>
      <i/>
      <sz val="12"/>
      <color rgb="FF1E2B26"/>
      <name val="Arial"/>
      <family val="2"/>
    </font>
    <font>
      <i/>
      <u/>
      <sz val="10"/>
      <name val="Arial"/>
      <family val="2"/>
    </font>
    <font>
      <sz val="10"/>
      <color rgb="FF1F4E9A"/>
      <name val="Arial"/>
      <family val="2"/>
    </font>
    <font>
      <i/>
      <sz val="11"/>
      <color indexed="27"/>
      <name val="Arial"/>
      <family val="2"/>
    </font>
    <font>
      <sz val="11"/>
      <color indexed="27"/>
      <name val="Arial"/>
      <family val="2"/>
    </font>
    <font>
      <b/>
      <i/>
      <sz val="11"/>
      <color indexed="9"/>
      <name val="Arial"/>
      <family val="2"/>
    </font>
    <font>
      <b/>
      <i/>
      <sz val="11"/>
      <color rgb="FF1F4E9A"/>
      <name val="Arial"/>
      <family val="2"/>
    </font>
    <font>
      <i/>
      <sz val="11"/>
      <color indexed="9"/>
      <name val="Arial"/>
      <family val="2"/>
    </font>
    <font>
      <b/>
      <i/>
      <sz val="11"/>
      <color rgb="FFC00000"/>
      <name val="Arial"/>
      <family val="2"/>
    </font>
    <font>
      <i/>
      <sz val="11"/>
      <color rgb="FF7A6A2E"/>
      <name val="Arial"/>
      <family val="2"/>
    </font>
    <font>
      <i/>
      <sz val="11"/>
      <color rgb="FF2E86AB"/>
      <name val="Arial"/>
      <family val="2"/>
    </font>
    <font>
      <sz val="11"/>
      <color rgb="FF7A6A2E"/>
      <name val="Arial"/>
      <family val="2"/>
    </font>
    <font>
      <i/>
      <sz val="10"/>
      <color indexed="9"/>
      <name val="Arial"/>
      <family val="2"/>
    </font>
    <font>
      <i/>
      <sz val="9"/>
      <color rgb="FF1E2B26"/>
      <name val="Arial"/>
      <family val="2"/>
    </font>
    <font>
      <sz val="11"/>
      <color rgb="FF7A6A2E"/>
      <name val="Arial"/>
      <family val="2"/>
    </font>
    <font>
      <i/>
      <sz val="11"/>
      <color rgb="FF7A6A2E"/>
      <name val="Arial"/>
      <family val="2"/>
    </font>
    <font>
      <b/>
      <sz val="11"/>
      <color rgb="FF7A6A2E"/>
      <name val="Arial"/>
      <family val="2"/>
    </font>
    <font>
      <b/>
      <i/>
      <sz val="11"/>
      <color rgb="FF7A6A2E"/>
      <name val="Arial"/>
      <family val="2"/>
    </font>
    <font>
      <i/>
      <sz val="11"/>
      <color rgb="FF2E86AB"/>
      <name val="Arial"/>
      <family val="2"/>
    </font>
    <font>
      <b/>
      <sz val="9"/>
      <color rgb="FF1E2B26"/>
      <name val="Arial"/>
      <family val="2"/>
    </font>
    <font>
      <sz val="10"/>
      <color rgb="FFC00000"/>
      <name val="Arial"/>
      <family val="2"/>
    </font>
    <font>
      <sz val="11"/>
      <color rgb="FF1F4E9A"/>
      <name val="Arial"/>
      <family val="2"/>
    </font>
    <font>
      <sz val="11"/>
      <color rgb="FF1F4E9A"/>
      <name val="Arial"/>
      <family val="2"/>
    </font>
    <font>
      <b/>
      <i/>
      <sz val="12"/>
      <name val="Arial"/>
      <family val="2"/>
    </font>
    <font>
      <b/>
      <i/>
      <sz val="12"/>
      <color rgb="FF1F4E9A"/>
      <name val="Arial"/>
      <family val="2"/>
    </font>
    <font>
      <b/>
      <i/>
      <sz val="9"/>
      <name val="Arial"/>
      <family val="2"/>
    </font>
    <font>
      <b/>
      <sz val="13"/>
      <color rgb="FF1E2B26"/>
      <name val="Arial"/>
      <family val="2"/>
    </font>
    <font>
      <b/>
      <sz val="13"/>
      <name val="Arial"/>
      <family val="2"/>
    </font>
    <font>
      <i/>
      <sz val="8"/>
      <name val="Arial"/>
      <family val="2"/>
    </font>
    <font>
      <b/>
      <i/>
      <sz val="8"/>
      <name val="Arial"/>
      <family val="2"/>
    </font>
    <font>
      <sz val="6"/>
      <name val="Arial"/>
      <family val="2"/>
    </font>
    <font>
      <sz val="10"/>
      <color indexed="62"/>
      <name val="Arial"/>
      <family val="2"/>
    </font>
    <font>
      <b/>
      <sz val="8"/>
      <name val="Arial Narrow"/>
      <family val="2"/>
    </font>
    <font>
      <sz val="10"/>
      <name val="Arial Narrow"/>
      <family val="2"/>
    </font>
    <font>
      <sz val="8"/>
      <name val="Arial Narrow"/>
      <family val="2"/>
    </font>
    <font>
      <i/>
      <sz val="10"/>
      <name val="Arial Narrow"/>
      <family val="2"/>
    </font>
    <font>
      <b/>
      <i/>
      <sz val="10"/>
      <name val="Arial Narrow"/>
      <family val="2"/>
    </font>
    <font>
      <b/>
      <sz val="10"/>
      <name val="Arial Narrow"/>
      <family val="2"/>
    </font>
    <font>
      <sz val="11"/>
      <name val="Arial Narrow"/>
      <family val="2"/>
    </font>
    <font>
      <sz val="10"/>
      <color rgb="FFC00000"/>
      <name val="Arial"/>
      <family val="2"/>
    </font>
    <font>
      <i/>
      <sz val="9"/>
      <color rgb="FFC00000"/>
      <name val="Arial"/>
      <family val="2"/>
    </font>
    <font>
      <u/>
      <sz val="10"/>
      <color rgb="FFC00000"/>
      <name val="Arial"/>
      <family val="2"/>
    </font>
    <font>
      <b/>
      <u/>
      <sz val="11"/>
      <name val="Arial Narrow"/>
      <family val="2"/>
    </font>
    <font>
      <i/>
      <sz val="9"/>
      <name val="Arial Narrow"/>
      <family val="2"/>
    </font>
    <font>
      <b/>
      <i/>
      <sz val="9"/>
      <name val="Arial Narrow"/>
      <family val="2"/>
    </font>
    <font>
      <sz val="8"/>
      <color indexed="9"/>
      <name val="Arial"/>
      <family val="2"/>
    </font>
    <font>
      <b/>
      <sz val="10"/>
      <color rgb="FF00915A"/>
      <name val="Arial"/>
      <family val="2"/>
    </font>
    <font>
      <sz val="11"/>
      <color rgb="FFC00000"/>
      <name val="Arial"/>
      <family val="2"/>
    </font>
    <font>
      <b/>
      <sz val="11"/>
      <color rgb="FFC00000"/>
      <name val="Arial"/>
      <family val="2"/>
    </font>
    <font>
      <i/>
      <sz val="11"/>
      <color rgb="FFC00000"/>
      <name val="Arial"/>
      <family val="2"/>
    </font>
    <font>
      <sz val="10"/>
      <color rgb="FF1E2B26"/>
      <name val="Arial"/>
      <family val="2"/>
    </font>
    <font>
      <b/>
      <sz val="10"/>
      <color rgb="FF1E2B26"/>
      <name val="Arial"/>
      <family val="2"/>
    </font>
    <font>
      <sz val="10"/>
      <color rgb="FF1F4E9A"/>
      <name val="Arial"/>
      <family val="2"/>
    </font>
    <font>
      <b/>
      <sz val="10"/>
      <color rgb="FFFFFFFF"/>
      <name val="Arial"/>
      <family val="2"/>
    </font>
    <font>
      <b/>
      <sz val="10"/>
      <color rgb="FF00573F"/>
      <name val="Arial"/>
      <family val="2"/>
    </font>
    <font>
      <b/>
      <sz val="10"/>
      <color rgb="FFFFFFFF"/>
      <name val="Arial"/>
      <family val="2"/>
    </font>
    <font>
      <b/>
      <sz val="10"/>
      <color rgb="FF00573F"/>
      <name val="Arial"/>
      <family val="2"/>
    </font>
    <font>
      <b/>
      <sz val="14"/>
      <color rgb="FF00573F"/>
      <name val="Arial"/>
      <family val="2"/>
    </font>
    <font>
      <b/>
      <u/>
      <sz val="12"/>
      <color indexed="8"/>
      <name val="Arial"/>
      <family val="2"/>
    </font>
    <font>
      <b/>
      <u/>
      <sz val="11"/>
      <color indexed="8"/>
      <name val="Arial"/>
      <family val="2"/>
    </font>
    <font>
      <sz val="11"/>
      <color indexed="8"/>
      <name val="Arial"/>
      <family val="2"/>
    </font>
    <font>
      <sz val="11"/>
      <color indexed="10"/>
      <name val="Arial"/>
      <family val="2"/>
    </font>
    <font>
      <sz val="10"/>
      <color indexed="8"/>
      <name val="Arial"/>
      <family val="2"/>
    </font>
    <font>
      <sz val="9"/>
      <color indexed="8"/>
      <name val="Arial"/>
      <family val="2"/>
    </font>
    <font>
      <i/>
      <u/>
      <sz val="11"/>
      <color indexed="8"/>
      <name val="Arial"/>
      <family val="2"/>
    </font>
    <font>
      <u/>
      <sz val="11"/>
      <color indexed="8"/>
      <name val="Arial"/>
      <family val="2"/>
    </font>
    <font>
      <u/>
      <sz val="11"/>
      <color indexed="10"/>
      <name val="Arial"/>
      <family val="2"/>
    </font>
    <font>
      <b/>
      <sz val="11"/>
      <color indexed="10"/>
      <name val="Arial"/>
      <family val="2"/>
    </font>
    <font>
      <i/>
      <sz val="8"/>
      <color indexed="8"/>
      <name val="Arial"/>
      <family val="2"/>
    </font>
    <font>
      <i/>
      <sz val="10"/>
      <color indexed="8"/>
      <name val="Arial"/>
      <family val="2"/>
    </font>
    <font>
      <b/>
      <sz val="12"/>
      <color indexed="8"/>
      <name val="Arial"/>
      <family val="2"/>
    </font>
    <font>
      <sz val="12"/>
      <color indexed="8"/>
      <name val="Arial"/>
      <family val="2"/>
    </font>
    <font>
      <b/>
      <sz val="10"/>
      <color indexed="8"/>
      <name val="Arial"/>
      <family val="2"/>
    </font>
    <font>
      <b/>
      <sz val="11"/>
      <color indexed="8"/>
      <name val="Arial"/>
      <family val="2"/>
    </font>
    <font>
      <b/>
      <i/>
      <sz val="10"/>
      <color indexed="24"/>
      <name val="Arial"/>
      <family val="2"/>
    </font>
    <font>
      <b/>
      <sz val="8"/>
      <color indexed="24"/>
      <name val="Arial"/>
      <family val="2"/>
    </font>
    <font>
      <b/>
      <sz val="10"/>
      <color indexed="24"/>
      <name val="Arial"/>
      <family val="2"/>
    </font>
    <font>
      <b/>
      <sz val="9"/>
      <color indexed="24"/>
      <name val="Arial"/>
      <family val="2"/>
    </font>
    <font>
      <b/>
      <sz val="8"/>
      <color rgb="FF000000"/>
      <name val="Tahoma"/>
      <family val="2"/>
    </font>
    <font>
      <sz val="8"/>
      <color indexed="81"/>
      <name val="Tahoma"/>
      <family val="2"/>
    </font>
    <font>
      <b/>
      <sz val="8"/>
      <color indexed="81"/>
      <name val="Tahoma"/>
      <family val="2"/>
    </font>
  </fonts>
  <fills count="16">
    <fill>
      <patternFill patternType="none"/>
    </fill>
    <fill>
      <patternFill patternType="gray125"/>
    </fill>
    <fill>
      <patternFill patternType="solid">
        <fgColor rgb="FFEAF5EF"/>
        <bgColor indexed="64"/>
      </patternFill>
    </fill>
    <fill>
      <patternFill patternType="solid">
        <fgColor rgb="FFFFFFFF"/>
        <bgColor indexed="64"/>
      </patternFill>
    </fill>
    <fill>
      <patternFill patternType="solid">
        <fgColor rgb="FFE3E8E5"/>
        <bgColor indexed="64"/>
      </patternFill>
    </fill>
    <fill>
      <patternFill patternType="solid">
        <fgColor rgb="FFA9D9C0"/>
        <bgColor indexed="64"/>
      </patternFill>
    </fill>
    <fill>
      <patternFill patternType="solid">
        <fgColor rgb="FFFFF8E1"/>
        <bgColor indexed="64"/>
      </patternFill>
    </fill>
    <fill>
      <patternFill patternType="solid">
        <fgColor rgb="FFD4EAE0"/>
        <bgColor indexed="64"/>
      </patternFill>
    </fill>
    <fill>
      <patternFill patternType="solid">
        <fgColor rgb="FFD4EAE0"/>
        <bgColor indexed="64"/>
      </patternFill>
    </fill>
    <fill>
      <patternFill patternType="solid">
        <fgColor rgb="FFF2F2F2"/>
        <bgColor indexed="64"/>
      </patternFill>
    </fill>
    <fill>
      <patternFill patternType="solid">
        <fgColor rgb="FFFFFFFF"/>
        <bgColor indexed="64"/>
      </patternFill>
    </fill>
    <fill>
      <patternFill patternType="solid">
        <fgColor rgb="FF00915A"/>
        <bgColor indexed="64"/>
      </patternFill>
    </fill>
    <fill>
      <patternFill patternType="solid">
        <fgColor rgb="FF00573F"/>
        <bgColor indexed="64"/>
      </patternFill>
    </fill>
    <fill>
      <patternFill patternType="solid">
        <fgColor rgb="FFC6E5D4"/>
        <bgColor indexed="64"/>
      </patternFill>
    </fill>
    <fill>
      <patternFill patternType="solid">
        <fgColor rgb="FFEAF5EF"/>
        <bgColor indexed="64"/>
      </patternFill>
    </fill>
    <fill>
      <patternFill patternType="solid">
        <fgColor rgb="FFFFF8E1"/>
        <bgColor indexed="64"/>
      </patternFill>
    </fill>
  </fills>
  <borders count="93">
    <border>
      <left/>
      <right/>
      <top/>
      <bottom/>
      <diagonal/>
    </border>
    <border>
      <left/>
      <right style="thin">
        <color rgb="FFC9D3CE"/>
      </right>
      <top/>
      <bottom/>
      <diagonal/>
    </border>
    <border>
      <left/>
      <right/>
      <top/>
      <bottom style="thin">
        <color rgb="FFC9D3CE"/>
      </bottom>
      <diagonal/>
    </border>
    <border>
      <left/>
      <right style="thin">
        <color rgb="FFC9D3CE"/>
      </right>
      <top/>
      <bottom style="thin">
        <color rgb="FFC9D3CE"/>
      </bottom>
      <diagonal/>
    </border>
    <border>
      <left style="thin">
        <color rgb="FFC9D3CE"/>
      </left>
      <right style="thin">
        <color rgb="FFC9D3CE"/>
      </right>
      <top style="thin">
        <color rgb="FFC9D3CE"/>
      </top>
      <bottom style="thin">
        <color rgb="FFC9D3CE"/>
      </bottom>
      <diagonal/>
    </border>
    <border>
      <left style="medium">
        <color rgb="FF00573F"/>
      </left>
      <right/>
      <top style="medium">
        <color rgb="FF00573F"/>
      </top>
      <bottom style="medium">
        <color rgb="FF00573F"/>
      </bottom>
      <diagonal/>
    </border>
    <border>
      <left/>
      <right/>
      <top style="medium">
        <color rgb="FF00573F"/>
      </top>
      <bottom style="medium">
        <color rgb="FF00573F"/>
      </bottom>
      <diagonal/>
    </border>
    <border>
      <left style="medium">
        <color rgb="FF00573F"/>
      </left>
      <right/>
      <top style="medium">
        <color rgb="FF00573F"/>
      </top>
      <bottom/>
      <diagonal/>
    </border>
    <border>
      <left/>
      <right/>
      <top style="medium">
        <color rgb="FF00573F"/>
      </top>
      <bottom/>
      <diagonal/>
    </border>
    <border>
      <left style="medium">
        <color rgb="FF00573F"/>
      </left>
      <right/>
      <top/>
      <bottom/>
      <diagonal/>
    </border>
    <border>
      <left/>
      <right style="thin">
        <color rgb="FFC9D3CE"/>
      </right>
      <top style="medium">
        <color rgb="FF00573F"/>
      </top>
      <bottom style="medium">
        <color rgb="FF00573F"/>
      </bottom>
      <diagonal/>
    </border>
    <border>
      <left/>
      <right/>
      <top style="thin">
        <color rgb="FFC9D3CE"/>
      </top>
      <bottom/>
      <diagonal/>
    </border>
    <border>
      <left/>
      <right/>
      <top/>
      <bottom style="medium">
        <color rgb="FF00573F"/>
      </bottom>
      <diagonal/>
    </border>
    <border>
      <left style="medium">
        <color rgb="FF00573F"/>
      </left>
      <right style="thin">
        <color rgb="FFC9D3CE"/>
      </right>
      <top/>
      <bottom style="medium">
        <color rgb="FF00573F"/>
      </bottom>
      <diagonal/>
    </border>
    <border>
      <left/>
      <right style="medium">
        <color rgb="FF00573F"/>
      </right>
      <top/>
      <bottom style="medium">
        <color rgb="FF00573F"/>
      </bottom>
      <diagonal/>
    </border>
    <border>
      <left style="thin">
        <color rgb="FFC9D3CE"/>
      </left>
      <right style="thin">
        <color rgb="FFC9D3CE"/>
      </right>
      <top style="medium">
        <color rgb="FF00573F"/>
      </top>
      <bottom style="medium">
        <color rgb="FF00573F"/>
      </bottom>
      <diagonal/>
    </border>
    <border>
      <left style="thin">
        <color rgb="FFC9D3CE"/>
      </left>
      <right style="medium">
        <color rgb="FF00573F"/>
      </right>
      <top style="medium">
        <color rgb="FF00573F"/>
      </top>
      <bottom style="medium">
        <color rgb="FF00573F"/>
      </bottom>
      <diagonal/>
    </border>
    <border>
      <left style="medium">
        <color rgb="FF00573F"/>
      </left>
      <right style="thin">
        <color rgb="FFC9D3CE"/>
      </right>
      <top/>
      <bottom/>
      <diagonal/>
    </border>
    <border>
      <left/>
      <right style="medium">
        <color rgb="FF00573F"/>
      </right>
      <top/>
      <bottom/>
      <diagonal/>
    </border>
    <border>
      <left style="medium">
        <color rgb="FF00573F"/>
      </left>
      <right style="thin">
        <color rgb="FFC9D3CE"/>
      </right>
      <top/>
      <bottom style="thin">
        <color rgb="FFC9D3CE"/>
      </bottom>
      <diagonal/>
    </border>
    <border>
      <left/>
      <right style="medium">
        <color rgb="FF00573F"/>
      </right>
      <top/>
      <bottom style="thin">
        <color rgb="FFC9D3CE"/>
      </bottom>
      <diagonal/>
    </border>
    <border>
      <left/>
      <right style="thin">
        <color rgb="FFC9D3CE"/>
      </right>
      <top/>
      <bottom style="medium">
        <color rgb="FF00573F"/>
      </bottom>
      <diagonal/>
    </border>
    <border>
      <left style="thin">
        <color rgb="FFC9D3CE"/>
      </left>
      <right/>
      <top style="thin">
        <color rgb="FFC9D3CE"/>
      </top>
      <bottom style="thin">
        <color rgb="FFC9D3CE"/>
      </bottom>
      <diagonal/>
    </border>
    <border>
      <left/>
      <right style="thin">
        <color rgb="FFC9D3CE"/>
      </right>
      <top style="thin">
        <color rgb="FFC9D3CE"/>
      </top>
      <bottom style="thin">
        <color rgb="FFC9D3CE"/>
      </bottom>
      <diagonal/>
    </border>
    <border>
      <left style="thin">
        <color rgb="FFC9D3CE"/>
      </left>
      <right/>
      <top/>
      <bottom/>
      <diagonal/>
    </border>
    <border>
      <left style="medium">
        <color rgb="FF00573F"/>
      </left>
      <right style="medium">
        <color rgb="FF00573F"/>
      </right>
      <top style="medium">
        <color rgb="FF00573F"/>
      </top>
      <bottom style="medium">
        <color rgb="FF00573F"/>
      </bottom>
      <diagonal/>
    </border>
    <border>
      <left/>
      <right/>
      <top style="thin">
        <color rgb="FFC9D3CE"/>
      </top>
      <bottom style="thin">
        <color rgb="FFC9D3CE"/>
      </bottom>
      <diagonal/>
    </border>
    <border>
      <left style="double">
        <color rgb="FF00573F"/>
      </left>
      <right/>
      <top/>
      <bottom/>
      <diagonal/>
    </border>
    <border>
      <left style="hair">
        <color rgb="FFC9D3CE"/>
      </left>
      <right style="hair">
        <color rgb="FFC9D3CE"/>
      </right>
      <top style="double">
        <color rgb="FF00573F"/>
      </top>
      <bottom/>
      <diagonal/>
    </border>
    <border>
      <left style="hair">
        <color rgb="FFC9D3CE"/>
      </left>
      <right style="double">
        <color rgb="FF00573F"/>
      </right>
      <top style="double">
        <color rgb="FF00573F"/>
      </top>
      <bottom/>
      <diagonal/>
    </border>
    <border>
      <left style="hair">
        <color rgb="FFC9D3CE"/>
      </left>
      <right style="hair">
        <color rgb="FFC9D3CE"/>
      </right>
      <top/>
      <bottom/>
      <diagonal/>
    </border>
    <border>
      <left style="double">
        <color rgb="FF00573F"/>
      </left>
      <right style="hair">
        <color rgb="FFC9D3CE"/>
      </right>
      <top style="hair">
        <color rgb="FFC9D3CE"/>
      </top>
      <bottom style="hair">
        <color rgb="FFC9D3CE"/>
      </bottom>
      <diagonal/>
    </border>
    <border>
      <left/>
      <right style="hair">
        <color rgb="FFC9D3CE"/>
      </right>
      <top style="hair">
        <color rgb="FFC9D3CE"/>
      </top>
      <bottom style="hair">
        <color rgb="FFC9D3CE"/>
      </bottom>
      <diagonal/>
    </border>
    <border>
      <left style="hair">
        <color rgb="FFC9D3CE"/>
      </left>
      <right style="hair">
        <color rgb="FFC9D3CE"/>
      </right>
      <top style="hair">
        <color rgb="FFC9D3CE"/>
      </top>
      <bottom style="hair">
        <color rgb="FFC9D3CE"/>
      </bottom>
      <diagonal/>
    </border>
    <border>
      <left style="hair">
        <color rgb="FFC9D3CE"/>
      </left>
      <right/>
      <top/>
      <bottom/>
      <diagonal/>
    </border>
    <border>
      <left style="double">
        <color rgb="FF00573F"/>
      </left>
      <right style="hair">
        <color rgb="FFC9D3CE"/>
      </right>
      <top/>
      <bottom/>
      <diagonal/>
    </border>
    <border>
      <left/>
      <right style="hair">
        <color rgb="FFC9D3CE"/>
      </right>
      <top/>
      <bottom/>
      <diagonal/>
    </border>
    <border>
      <left style="double">
        <color rgb="FF00573F"/>
      </left>
      <right style="hair">
        <color rgb="FFC9D3CE"/>
      </right>
      <top/>
      <bottom style="hair">
        <color rgb="FFC9D3CE"/>
      </bottom>
      <diagonal/>
    </border>
    <border>
      <left style="double">
        <color rgb="FF00573F"/>
      </left>
      <right style="hair">
        <color rgb="FFC9D3CE"/>
      </right>
      <top style="hair">
        <color rgb="FFC9D3CE"/>
      </top>
      <bottom style="double">
        <color rgb="FF00573F"/>
      </bottom>
      <diagonal/>
    </border>
    <border>
      <left/>
      <right style="hair">
        <color rgb="FFC9D3CE"/>
      </right>
      <top style="hair">
        <color rgb="FFC9D3CE"/>
      </top>
      <bottom style="double">
        <color rgb="FF00573F"/>
      </bottom>
      <diagonal/>
    </border>
    <border>
      <left style="hair">
        <color rgb="FFC9D3CE"/>
      </left>
      <right style="hair">
        <color rgb="FFC9D3CE"/>
      </right>
      <top style="hair">
        <color rgb="FFC9D3CE"/>
      </top>
      <bottom style="double">
        <color rgb="FF00573F"/>
      </bottom>
      <diagonal/>
    </border>
    <border>
      <left style="double">
        <color rgb="FF00573F"/>
      </left>
      <right/>
      <top/>
      <bottom style="hair">
        <color rgb="FFC9D3CE"/>
      </bottom>
      <diagonal/>
    </border>
    <border>
      <left/>
      <right/>
      <top/>
      <bottom style="hair">
        <color rgb="FFC9D3CE"/>
      </bottom>
      <diagonal/>
    </border>
    <border>
      <left style="hair">
        <color rgb="FFC9D3CE"/>
      </left>
      <right style="hair">
        <color rgb="FFC9D3CE"/>
      </right>
      <top/>
      <bottom style="hair">
        <color rgb="FFC9D3CE"/>
      </bottom>
      <diagonal/>
    </border>
    <border>
      <left style="double">
        <color rgb="FF00573F"/>
      </left>
      <right/>
      <top/>
      <bottom style="thick">
        <color rgb="FF00573F"/>
      </bottom>
      <diagonal/>
    </border>
    <border>
      <left/>
      <right/>
      <top/>
      <bottom style="thick">
        <color rgb="FF00573F"/>
      </bottom>
      <diagonal/>
    </border>
    <border>
      <left style="double">
        <color rgb="FF00573F"/>
      </left>
      <right/>
      <top style="double">
        <color rgb="FF00573F"/>
      </top>
      <bottom/>
      <diagonal/>
    </border>
    <border>
      <left/>
      <right/>
      <top style="double">
        <color rgb="FF00573F"/>
      </top>
      <bottom/>
      <diagonal/>
    </border>
    <border>
      <left style="hair">
        <color rgb="FFC9D3CE"/>
      </left>
      <right/>
      <top style="double">
        <color rgb="FF00573F"/>
      </top>
      <bottom/>
      <diagonal/>
    </border>
    <border>
      <left style="hair">
        <color rgb="FFC9D3CE"/>
      </left>
      <right style="double">
        <color rgb="FF00573F"/>
      </right>
      <top/>
      <bottom/>
      <diagonal/>
    </border>
    <border>
      <left style="double">
        <color rgb="FF00573F"/>
      </left>
      <right style="hair">
        <color rgb="FFC9D3CE"/>
      </right>
      <top style="hair">
        <color rgb="FFC9D3CE"/>
      </top>
      <bottom/>
      <diagonal/>
    </border>
    <border>
      <left/>
      <right style="hair">
        <color rgb="FFC9D3CE"/>
      </right>
      <top style="hair">
        <color rgb="FFC9D3CE"/>
      </top>
      <bottom/>
      <diagonal/>
    </border>
    <border>
      <left style="hair">
        <color rgb="FFC9D3CE"/>
      </left>
      <right style="hair">
        <color rgb="FFC9D3CE"/>
      </right>
      <top style="hair">
        <color rgb="FFC9D3CE"/>
      </top>
      <bottom/>
      <diagonal/>
    </border>
    <border>
      <left/>
      <right style="medium">
        <color rgb="FF00573F"/>
      </right>
      <top style="medium">
        <color rgb="FF00573F"/>
      </top>
      <bottom style="medium">
        <color rgb="FF00573F"/>
      </bottom>
      <diagonal/>
    </border>
    <border>
      <left/>
      <right/>
      <top style="thin">
        <color rgb="FFC9D3CE"/>
      </top>
      <bottom style="thick">
        <color rgb="FF00573F"/>
      </bottom>
      <diagonal/>
    </border>
    <border>
      <left style="thin">
        <color rgb="FFC9D3CE"/>
      </left>
      <right/>
      <top style="thin">
        <color rgb="FFC9D3CE"/>
      </top>
      <bottom/>
      <diagonal/>
    </border>
    <border>
      <left/>
      <right style="thin">
        <color rgb="FFC9D3CE"/>
      </right>
      <top style="thin">
        <color rgb="FFC9D3CE"/>
      </top>
      <bottom/>
      <diagonal/>
    </border>
    <border>
      <left style="thin">
        <color rgb="FFC9D3CE"/>
      </left>
      <right/>
      <top/>
      <bottom style="thin">
        <color rgb="FFC9D3CE"/>
      </bottom>
      <diagonal/>
    </border>
    <border>
      <left/>
      <right style="thin">
        <color rgb="FFC9D3CE"/>
      </right>
      <top/>
      <bottom style="hair">
        <color rgb="FFC9D3CE"/>
      </bottom>
      <diagonal/>
    </border>
    <border>
      <left style="thin">
        <color rgb="FFC9D3CE"/>
      </left>
      <right/>
      <top/>
      <bottom style="thick">
        <color rgb="FF00573F"/>
      </bottom>
      <diagonal/>
    </border>
    <border>
      <left/>
      <right style="thin">
        <color rgb="FFC9D3CE"/>
      </right>
      <top/>
      <bottom style="thick">
        <color rgb="FF00573F"/>
      </bottom>
      <diagonal/>
    </border>
    <border>
      <left style="thin">
        <color rgb="FFC9D3CE"/>
      </left>
      <right style="thin">
        <color rgb="FFC9D3CE"/>
      </right>
      <top style="thin">
        <color rgb="FFC9D3CE"/>
      </top>
      <bottom/>
      <diagonal/>
    </border>
    <border>
      <left style="thin">
        <color rgb="FFC9D3CE"/>
      </left>
      <right style="thin">
        <color rgb="FFC9D3CE"/>
      </right>
      <top/>
      <bottom/>
      <diagonal/>
    </border>
    <border>
      <left style="thin">
        <color rgb="FFC9D3CE"/>
      </left>
      <right style="thin">
        <color rgb="FFC9D3CE"/>
      </right>
      <top/>
      <bottom style="thin">
        <color rgb="FFC9D3CE"/>
      </bottom>
      <diagonal/>
    </border>
    <border>
      <left style="thin">
        <color rgb="FFC9D3CE"/>
      </left>
      <right/>
      <top/>
      <bottom style="hair">
        <color rgb="FFC9D3CE"/>
      </bottom>
      <diagonal/>
    </border>
    <border>
      <left style="thin">
        <color rgb="FFC9D3CE"/>
      </left>
      <right style="thin">
        <color rgb="FFC9D3CE"/>
      </right>
      <top/>
      <bottom style="hair">
        <color rgb="FFC9D3CE"/>
      </bottom>
      <diagonal/>
    </border>
    <border>
      <left style="thin">
        <color rgb="FFC9D3CE"/>
      </left>
      <right style="thin">
        <color rgb="FFC9D3CE"/>
      </right>
      <top style="thin">
        <color rgb="FFC9D3CE"/>
      </top>
      <bottom style="medium">
        <color rgb="FF00573F"/>
      </bottom>
      <diagonal/>
    </border>
    <border>
      <left style="thin">
        <color rgb="FFC9D3CE"/>
      </left>
      <right style="thin">
        <color rgb="FFC9D3CE"/>
      </right>
      <top/>
      <bottom style="medium">
        <color rgb="FF00573F"/>
      </bottom>
      <diagonal/>
    </border>
    <border>
      <left style="medium">
        <color rgb="FF00573F"/>
      </left>
      <right style="thin">
        <color rgb="FFC9D3CE"/>
      </right>
      <top style="thin">
        <color rgb="FFC9D3CE"/>
      </top>
      <bottom/>
      <diagonal/>
    </border>
    <border>
      <left/>
      <right style="medium">
        <color rgb="FF00573F"/>
      </right>
      <top style="thin">
        <color rgb="FFC9D3CE"/>
      </top>
      <bottom/>
      <diagonal/>
    </border>
    <border>
      <left style="thin">
        <color rgb="FFC9D3CE"/>
      </left>
      <right style="medium">
        <color rgb="FF00573F"/>
      </right>
      <top/>
      <bottom/>
      <diagonal/>
    </border>
    <border>
      <left/>
      <right style="medium">
        <color rgb="FF00573F"/>
      </right>
      <top style="medium">
        <color rgb="FF00573F"/>
      </top>
      <bottom/>
      <diagonal/>
    </border>
    <border>
      <left/>
      <right style="double">
        <color rgb="FF00573F"/>
      </right>
      <top/>
      <bottom/>
      <diagonal/>
    </border>
    <border>
      <left style="double">
        <color rgb="FF00573F"/>
      </left>
      <right/>
      <top/>
      <bottom style="double">
        <color rgb="FF00573F"/>
      </bottom>
      <diagonal/>
    </border>
    <border>
      <left/>
      <right/>
      <top/>
      <bottom style="double">
        <color rgb="FF00573F"/>
      </bottom>
      <diagonal/>
    </border>
    <border>
      <left style="hair">
        <color rgb="FFC9D3CE"/>
      </left>
      <right/>
      <top/>
      <bottom style="double">
        <color rgb="FF00573F"/>
      </bottom>
      <diagonal/>
    </border>
    <border>
      <left style="hair">
        <color rgb="FFC9D3CE"/>
      </left>
      <right style="hair">
        <color rgb="FFC9D3CE"/>
      </right>
      <top/>
      <bottom style="double">
        <color rgb="FF00573F"/>
      </bottom>
      <diagonal/>
    </border>
    <border>
      <left style="hair">
        <color rgb="FFC9D3CE"/>
      </left>
      <right style="double">
        <color rgb="FF00573F"/>
      </right>
      <top/>
      <bottom style="double">
        <color rgb="FF00573F"/>
      </bottom>
      <diagonal/>
    </border>
    <border>
      <left/>
      <right style="double">
        <color rgb="FF00573F"/>
      </right>
      <top style="double">
        <color rgb="FF00573F"/>
      </top>
      <bottom/>
      <diagonal/>
    </border>
    <border>
      <left style="thin">
        <color rgb="FFC9D3CE"/>
      </left>
      <right style="medium">
        <color rgb="FF00573F"/>
      </right>
      <top/>
      <bottom style="thin">
        <color rgb="FFC9D3CE"/>
      </bottom>
      <diagonal/>
    </border>
    <border>
      <left style="hair">
        <color rgb="FFC9D3CE"/>
      </left>
      <right style="hair">
        <color rgb="FFC9D3CE"/>
      </right>
      <top/>
      <bottom style="thick">
        <color rgb="FF00573F"/>
      </bottom>
      <diagonal/>
    </border>
    <border>
      <left style="hair">
        <color rgb="FFC9D3CE"/>
      </left>
      <right style="double">
        <color rgb="FF00573F"/>
      </right>
      <top style="hair">
        <color rgb="FFC9D3CE"/>
      </top>
      <bottom style="hair">
        <color rgb="FFC9D3CE"/>
      </bottom>
      <diagonal/>
    </border>
    <border>
      <left style="hair">
        <color rgb="FFC9D3CE"/>
      </left>
      <right style="double">
        <color rgb="FF00573F"/>
      </right>
      <top style="hair">
        <color rgb="FFC9D3CE"/>
      </top>
      <bottom/>
      <diagonal/>
    </border>
    <border>
      <left style="hair">
        <color rgb="FFC9D3CE"/>
      </left>
      <right style="double">
        <color rgb="FF00573F"/>
      </right>
      <top/>
      <bottom style="hair">
        <color rgb="FFC9D3CE"/>
      </bottom>
      <diagonal/>
    </border>
    <border>
      <left style="hair">
        <color rgb="FFC9D3CE"/>
      </left>
      <right style="double">
        <color rgb="FF00573F"/>
      </right>
      <top style="hair">
        <color rgb="FFC9D3CE"/>
      </top>
      <bottom style="double">
        <color rgb="FF00573F"/>
      </bottom>
      <diagonal/>
    </border>
    <border>
      <left style="hair">
        <color rgb="FFC9D3CE"/>
      </left>
      <right style="double">
        <color rgb="FF00573F"/>
      </right>
      <top/>
      <bottom style="thick">
        <color rgb="FF00573F"/>
      </bottom>
      <diagonal/>
    </border>
    <border>
      <left/>
      <right style="double">
        <color rgb="FF00573F"/>
      </right>
      <top/>
      <bottom style="double">
        <color rgb="FF00573F"/>
      </bottom>
      <diagonal/>
    </border>
    <border>
      <left style="hair">
        <color rgb="FFC9D3CE"/>
      </left>
      <right/>
      <top style="hair">
        <color rgb="FFC9D3CE"/>
      </top>
      <bottom style="hair">
        <color rgb="FFC9D3CE"/>
      </bottom>
      <diagonal/>
    </border>
    <border>
      <left style="thin">
        <color rgb="FFFF0000"/>
      </left>
      <right style="thin">
        <color rgb="FFFF0000"/>
      </right>
      <top style="thin">
        <color rgb="FFFF0000"/>
      </top>
      <bottom style="thin">
        <color rgb="FFFF0000"/>
      </bottom>
      <diagonal/>
    </border>
    <border>
      <left style="thin">
        <color rgb="FFC9D3CE"/>
      </left>
      <right style="thin">
        <color rgb="FFC9D3CE"/>
      </right>
      <top style="thin">
        <color rgb="FFC9D3CE"/>
      </top>
      <bottom style="thin">
        <color rgb="FFC9D3CE"/>
      </bottom>
      <diagonal/>
    </border>
    <border>
      <left style="thin">
        <color rgb="FF2FA878"/>
      </left>
      <right style="thin">
        <color rgb="FF2FA878"/>
      </right>
      <top style="thin">
        <color rgb="FF2FA878"/>
      </top>
      <bottom style="thin">
        <color rgb="FF2FA878"/>
      </bottom>
      <diagonal/>
    </border>
    <border>
      <left style="thin">
        <color rgb="FF00573F"/>
      </left>
      <right style="thin">
        <color rgb="FF00573F"/>
      </right>
      <top style="thin">
        <color rgb="FF00573F"/>
      </top>
      <bottom style="thin">
        <color rgb="FF00573F"/>
      </bottom>
      <diagonal/>
    </border>
    <border>
      <left style="thin">
        <color rgb="FFC9D3CE"/>
      </left>
      <right style="thin">
        <color rgb="FFC9D3CE"/>
      </right>
      <top style="thin">
        <color rgb="FFC9D3CE"/>
      </top>
      <bottom style="medium">
        <color rgb="FF00915A"/>
      </bottom>
      <diagonal/>
    </border>
  </borders>
  <cellStyleXfs count="15">
    <xf numFmtId="0" fontId="0" fillId="0" borderId="0"/>
    <xf numFmtId="164" fontId="4" fillId="0" borderId="0" applyFont="0" applyFill="0" applyBorder="0" applyAlignment="0" applyProtection="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5" fillId="0" borderId="0"/>
    <xf numFmtId="0" fontId="5" fillId="0" borderId="0"/>
    <xf numFmtId="0" fontId="6" fillId="0" borderId="0"/>
    <xf numFmtId="0" fontId="5" fillId="0" borderId="0"/>
    <xf numFmtId="9" fontId="4" fillId="0" borderId="0" applyFont="0" applyFill="0" applyBorder="0" applyAlignment="0" applyProtection="0"/>
    <xf numFmtId="0" fontId="13" fillId="0" borderId="0"/>
  </cellStyleXfs>
  <cellXfs count="1522">
    <xf numFmtId="0" fontId="0" fillId="0" borderId="0" xfId="0"/>
    <xf numFmtId="0" fontId="4" fillId="0" borderId="0" xfId="10" applyFont="1" applyFill="1" applyBorder="1" applyAlignment="1">
      <alignment vertical="center"/>
    </xf>
    <xf numFmtId="14" fontId="10" fillId="0" borderId="1" xfId="10" applyNumberFormat="1" applyFont="1" applyFill="1" applyBorder="1" applyAlignment="1">
      <alignment vertical="center"/>
    </xf>
    <xf numFmtId="0" fontId="4" fillId="0" borderId="0" xfId="10" applyFont="1"/>
    <xf numFmtId="0" fontId="11" fillId="0" borderId="2" xfId="10" applyFont="1" applyFill="1" applyBorder="1" applyAlignment="1">
      <alignment vertical="center"/>
    </xf>
    <xf numFmtId="0" fontId="12" fillId="0" borderId="2" xfId="10" applyFont="1" applyFill="1" applyBorder="1" applyAlignment="1">
      <alignment vertical="center"/>
    </xf>
    <xf numFmtId="0" fontId="13" fillId="0" borderId="2" xfId="10" applyFont="1" applyFill="1" applyBorder="1" applyAlignment="1">
      <alignment horizontal="center" vertical="center" wrapText="1"/>
    </xf>
    <xf numFmtId="167" fontId="14" fillId="0" borderId="2" xfId="10" applyNumberFormat="1" applyFont="1" applyFill="1" applyBorder="1" applyAlignment="1">
      <alignment horizontal="centerContinuous" vertical="center"/>
    </xf>
    <xf numFmtId="14" fontId="15" fillId="0" borderId="3" xfId="10" applyNumberFormat="1" applyFont="1" applyFill="1" applyBorder="1" applyAlignment="1"/>
    <xf numFmtId="0" fontId="13" fillId="0" borderId="0" xfId="10" applyFont="1" applyFill="1"/>
    <xf numFmtId="0" fontId="13" fillId="0" borderId="0" xfId="10" applyFont="1"/>
    <xf numFmtId="0" fontId="12" fillId="0" borderId="3" xfId="10" applyFont="1" applyFill="1" applyBorder="1" applyAlignment="1">
      <alignment vertical="center"/>
    </xf>
    <xf numFmtId="187" fontId="16" fillId="2" borderId="4" xfId="10" applyNumberFormat="1" applyFont="1" applyFill="1" applyBorder="1" applyAlignment="1" applyProtection="1">
      <alignment horizontal="center" vertical="center"/>
      <protection locked="0"/>
    </xf>
    <xf numFmtId="0" fontId="13" fillId="0" borderId="0" xfId="10" applyFont="1" applyFill="1" applyAlignment="1"/>
    <xf numFmtId="0" fontId="18" fillId="2" borderId="5" xfId="10" applyFont="1" applyFill="1" applyBorder="1" applyAlignment="1">
      <alignment vertical="center"/>
    </xf>
    <xf numFmtId="0" fontId="19" fillId="2" borderId="6" xfId="10" applyFont="1" applyFill="1" applyBorder="1" applyAlignment="1">
      <alignment vertical="center"/>
    </xf>
    <xf numFmtId="0" fontId="20" fillId="0" borderId="0" xfId="10" applyFont="1" applyFill="1" applyBorder="1" applyAlignment="1">
      <alignment vertical="center"/>
    </xf>
    <xf numFmtId="0" fontId="13" fillId="0" borderId="0" xfId="10" applyFont="1" applyFill="1" applyAlignment="1">
      <alignment vertical="center"/>
    </xf>
    <xf numFmtId="0" fontId="8" fillId="0" borderId="0" xfId="10" applyFont="1" applyFill="1" applyAlignment="1">
      <alignment vertical="center" wrapText="1"/>
    </xf>
    <xf numFmtId="0" fontId="19" fillId="2" borderId="5" xfId="10" applyFont="1" applyFill="1" applyBorder="1" applyAlignment="1">
      <alignment vertical="center"/>
    </xf>
    <xf numFmtId="0" fontId="13" fillId="0" borderId="0" xfId="10" applyFont="1" applyFill="1" applyAlignment="1">
      <alignment vertical="center" wrapText="1"/>
    </xf>
    <xf numFmtId="0" fontId="7" fillId="2" borderId="5" xfId="10" applyFont="1" applyFill="1" applyBorder="1" applyAlignment="1">
      <alignment vertical="center"/>
    </xf>
    <xf numFmtId="0" fontId="13" fillId="2" borderId="5" xfId="10" applyFont="1" applyFill="1" applyBorder="1" applyAlignment="1">
      <alignment vertical="center"/>
    </xf>
    <xf numFmtId="0" fontId="13" fillId="2" borderId="6" xfId="10" applyFont="1" applyFill="1" applyBorder="1" applyAlignment="1">
      <alignment vertical="center"/>
    </xf>
    <xf numFmtId="0" fontId="13" fillId="0" borderId="0" xfId="10" applyFont="1" applyFill="1" applyBorder="1" applyAlignment="1">
      <alignment vertical="center"/>
    </xf>
    <xf numFmtId="0" fontId="13" fillId="0" borderId="0" xfId="10" applyFont="1" applyFill="1" applyAlignment="1">
      <alignment vertical="top"/>
    </xf>
    <xf numFmtId="0" fontId="13" fillId="0" borderId="0" xfId="10" applyFont="1" applyFill="1" applyAlignment="1">
      <alignment horizontal="center" vertical="center" wrapText="1"/>
    </xf>
    <xf numFmtId="0" fontId="13" fillId="0" borderId="7" xfId="10" applyFont="1" applyFill="1" applyBorder="1" applyAlignment="1">
      <alignment vertical="center"/>
    </xf>
    <xf numFmtId="0" fontId="13" fillId="0" borderId="8" xfId="10" applyFont="1" applyFill="1" applyBorder="1" applyAlignment="1">
      <alignment vertical="center"/>
    </xf>
    <xf numFmtId="0" fontId="13" fillId="0" borderId="9" xfId="10" applyFont="1" applyFill="1" applyBorder="1" applyAlignment="1">
      <alignment vertical="center"/>
    </xf>
    <xf numFmtId="0" fontId="19" fillId="2" borderId="6" xfId="10" applyFont="1" applyFill="1" applyBorder="1" applyAlignment="1">
      <alignment vertical="center" wrapText="1"/>
    </xf>
    <xf numFmtId="0" fontId="13" fillId="0" borderId="0" xfId="10" applyFont="1" applyAlignment="1">
      <alignment vertical="center"/>
    </xf>
    <xf numFmtId="0" fontId="13" fillId="0" borderId="1" xfId="10" applyFont="1" applyFill="1" applyBorder="1" applyAlignment="1">
      <alignment vertical="center"/>
    </xf>
    <xf numFmtId="49" fontId="13" fillId="0" borderId="0" xfId="10" applyNumberFormat="1" applyFont="1" applyFill="1" applyAlignment="1">
      <alignment vertical="center"/>
    </xf>
    <xf numFmtId="49" fontId="13" fillId="0" borderId="0" xfId="10" applyNumberFormat="1" applyFont="1" applyFill="1" applyAlignment="1">
      <alignment vertical="center" wrapText="1"/>
    </xf>
    <xf numFmtId="49" fontId="19" fillId="2" borderId="6" xfId="10" applyNumberFormat="1" applyFont="1" applyFill="1" applyBorder="1" applyAlignment="1">
      <alignment vertical="center" wrapText="1"/>
    </xf>
    <xf numFmtId="0" fontId="7" fillId="3" borderId="5" xfId="10" applyFont="1" applyFill="1" applyBorder="1" applyAlignment="1">
      <alignment vertical="center"/>
    </xf>
    <xf numFmtId="0" fontId="13" fillId="3" borderId="10" xfId="10" applyFont="1" applyFill="1" applyBorder="1"/>
    <xf numFmtId="182" fontId="24" fillId="3" borderId="0" xfId="10" applyNumberFormat="1" applyFont="1" applyFill="1" applyBorder="1" applyAlignment="1">
      <alignment vertical="center"/>
    </xf>
    <xf numFmtId="0" fontId="13" fillId="0" borderId="2" xfId="10" applyFont="1" applyFill="1" applyBorder="1" applyAlignment="1">
      <alignment vertical="center"/>
    </xf>
    <xf numFmtId="0" fontId="28" fillId="3" borderId="0" xfId="10" applyNumberFormat="1" applyFont="1" applyFill="1" applyAlignment="1">
      <alignment vertical="center"/>
    </xf>
    <xf numFmtId="0" fontId="28" fillId="3" borderId="0" xfId="10" applyNumberFormat="1" applyFont="1" applyFill="1" applyBorder="1" applyAlignment="1">
      <alignment horizontal="center" vertical="center"/>
    </xf>
    <xf numFmtId="167" fontId="13" fillId="0" borderId="0" xfId="10" applyNumberFormat="1" applyFont="1" applyFill="1"/>
    <xf numFmtId="0" fontId="28" fillId="3" borderId="0" xfId="10" applyFont="1" applyFill="1" applyAlignment="1">
      <alignment vertical="center"/>
    </xf>
    <xf numFmtId="0" fontId="7" fillId="3" borderId="0" xfId="10" applyFont="1" applyFill="1" applyAlignment="1">
      <alignment vertical="center"/>
    </xf>
    <xf numFmtId="167" fontId="28" fillId="3" borderId="0" xfId="10" applyNumberFormat="1" applyFont="1" applyFill="1" applyBorder="1" applyAlignment="1">
      <alignment horizontal="center" vertical="center"/>
    </xf>
    <xf numFmtId="0" fontId="7" fillId="0" borderId="11" xfId="10" applyFont="1" applyFill="1" applyBorder="1" applyAlignment="1">
      <alignment vertical="center"/>
    </xf>
    <xf numFmtId="0" fontId="13" fillId="0" borderId="11" xfId="10" applyFont="1" applyFill="1" applyBorder="1" applyAlignment="1">
      <alignment vertical="center"/>
    </xf>
    <xf numFmtId="0" fontId="7" fillId="2" borderId="6" xfId="10" applyFont="1" applyFill="1" applyBorder="1" applyAlignment="1">
      <alignment vertical="center"/>
    </xf>
    <xf numFmtId="0" fontId="18" fillId="2" borderId="6" xfId="10" applyFont="1" applyFill="1" applyBorder="1" applyAlignment="1">
      <alignment vertical="center"/>
    </xf>
    <xf numFmtId="0" fontId="13" fillId="0" borderId="0" xfId="10" applyFont="1" applyFill="1" applyAlignment="1">
      <alignment horizontal="center" vertical="center"/>
    </xf>
    <xf numFmtId="0" fontId="7" fillId="0" borderId="0" xfId="10" applyFont="1" applyFill="1" applyBorder="1" applyAlignment="1">
      <alignment vertical="center"/>
    </xf>
    <xf numFmtId="0" fontId="7" fillId="0" borderId="0" xfId="10" applyFont="1" applyFill="1" applyAlignment="1">
      <alignment vertical="center"/>
    </xf>
    <xf numFmtId="0" fontId="7" fillId="2" borderId="6" xfId="10" applyFont="1" applyFill="1" applyBorder="1" applyAlignment="1">
      <alignment horizontal="centerContinuous" vertical="center" wrapText="1"/>
    </xf>
    <xf numFmtId="0" fontId="13" fillId="2" borderId="6" xfId="10" applyFont="1" applyFill="1" applyBorder="1" applyAlignment="1">
      <alignment horizontal="centerContinuous" vertical="center" wrapText="1"/>
    </xf>
    <xf numFmtId="0" fontId="32" fillId="3" borderId="0" xfId="10" applyFont="1" applyFill="1" applyAlignment="1">
      <alignment vertical="top"/>
    </xf>
    <xf numFmtId="0" fontId="13" fillId="3" borderId="0" xfId="10" applyFont="1" applyFill="1" applyAlignment="1">
      <alignment vertical="top"/>
    </xf>
    <xf numFmtId="0" fontId="33" fillId="3" borderId="0" xfId="10" applyFont="1" applyFill="1" applyAlignment="1">
      <alignment vertical="center"/>
    </xf>
    <xf numFmtId="0" fontId="13" fillId="3" borderId="0" xfId="10" applyFont="1" applyFill="1" applyAlignment="1">
      <alignment vertical="center"/>
    </xf>
    <xf numFmtId="0" fontId="13" fillId="3" borderId="0" xfId="10" applyFont="1" applyFill="1" applyAlignment="1">
      <alignment horizontal="centerContinuous" vertical="center" wrapText="1"/>
    </xf>
    <xf numFmtId="0" fontId="13" fillId="3" borderId="12" xfId="10" applyFont="1" applyFill="1" applyBorder="1" applyAlignment="1">
      <alignment vertical="center"/>
    </xf>
    <xf numFmtId="0" fontId="9" fillId="0" borderId="0" xfId="10" applyFont="1" applyFill="1" applyBorder="1"/>
    <xf numFmtId="0" fontId="9" fillId="0" borderId="0" xfId="10" applyFont="1" applyBorder="1"/>
    <xf numFmtId="167" fontId="13" fillId="0" borderId="0" xfId="10" applyNumberFormat="1" applyFont="1"/>
    <xf numFmtId="0" fontId="9" fillId="0" borderId="4" xfId="10" applyFont="1" applyBorder="1"/>
    <xf numFmtId="0" fontId="36" fillId="0" borderId="0" xfId="9" applyFont="1"/>
    <xf numFmtId="0" fontId="36" fillId="0" borderId="0" xfId="8" applyFont="1"/>
    <xf numFmtId="0" fontId="35" fillId="0" borderId="0" xfId="8" applyFont="1" applyFill="1" applyBorder="1" applyAlignment="1">
      <alignment horizontal="right" vertical="top"/>
    </xf>
    <xf numFmtId="0" fontId="35" fillId="0" borderId="0" xfId="8" applyFont="1" applyFill="1" applyBorder="1" applyAlignment="1">
      <alignment vertical="top"/>
    </xf>
    <xf numFmtId="0" fontId="36" fillId="0" borderId="0" xfId="9" applyFont="1" applyAlignment="1"/>
    <xf numFmtId="0" fontId="36" fillId="0" borderId="0" xfId="8" applyFont="1" applyFill="1" applyBorder="1" applyAlignment="1"/>
    <xf numFmtId="14" fontId="36" fillId="0" borderId="13" xfId="8" applyNumberFormat="1" applyFont="1" applyFill="1" applyBorder="1" applyAlignment="1">
      <alignment horizontal="center" vertical="center"/>
    </xf>
    <xf numFmtId="14" fontId="35" fillId="0" borderId="0" xfId="8" applyNumberFormat="1" applyFont="1" applyFill="1" applyBorder="1" applyAlignment="1">
      <alignment horizontal="center" vertical="center"/>
    </xf>
    <xf numFmtId="0" fontId="42" fillId="0" borderId="14" xfId="8" applyFont="1" applyFill="1" applyBorder="1" applyAlignment="1">
      <alignment vertical="top"/>
    </xf>
    <xf numFmtId="0" fontId="36" fillId="0" borderId="13" xfId="6" applyFont="1" applyFill="1" applyBorder="1"/>
    <xf numFmtId="0" fontId="43" fillId="0" borderId="1" xfId="6" applyFont="1" applyFill="1" applyBorder="1"/>
    <xf numFmtId="187" fontId="44" fillId="0" borderId="15" xfId="6" applyNumberFormat="1" applyFont="1" applyFill="1" applyBorder="1" applyAlignment="1">
      <alignment horizontal="center" vertical="center"/>
    </xf>
    <xf numFmtId="187" fontId="44" fillId="0" borderId="10" xfId="8" applyNumberFormat="1" applyFont="1" applyFill="1" applyBorder="1" applyAlignment="1">
      <alignment horizontal="center" vertical="center"/>
    </xf>
    <xf numFmtId="187" fontId="44" fillId="0" borderId="16" xfId="6" applyNumberFormat="1" applyFont="1" applyFill="1" applyBorder="1" applyAlignment="1">
      <alignment horizontal="center" vertical="center"/>
    </xf>
    <xf numFmtId="0" fontId="44" fillId="0" borderId="17" xfId="8" applyFont="1" applyFill="1" applyBorder="1" applyAlignment="1">
      <alignment horizontal="center" vertical="center"/>
    </xf>
    <xf numFmtId="0" fontId="45" fillId="0" borderId="1" xfId="8" applyFont="1" applyFill="1" applyBorder="1" applyAlignment="1">
      <alignment vertical="center"/>
    </xf>
    <xf numFmtId="38" fontId="36" fillId="0" borderId="1" xfId="8" applyNumberFormat="1" applyFont="1" applyBorder="1"/>
    <xf numFmtId="38" fontId="36" fillId="0" borderId="18" xfId="8" applyNumberFormat="1" applyFont="1" applyBorder="1"/>
    <xf numFmtId="0" fontId="45" fillId="0" borderId="17" xfId="8" applyFont="1" applyFill="1" applyBorder="1" applyAlignment="1">
      <alignment vertical="center"/>
    </xf>
    <xf numFmtId="179" fontId="36" fillId="0" borderId="1" xfId="8" applyNumberFormat="1" applyFont="1" applyBorder="1" applyAlignment="1">
      <alignment horizontal="center"/>
    </xf>
    <xf numFmtId="179" fontId="36" fillId="0" borderId="18" xfId="8" applyNumberFormat="1" applyFont="1" applyBorder="1" applyAlignment="1">
      <alignment horizontal="center"/>
    </xf>
    <xf numFmtId="175" fontId="36" fillId="0" borderId="1" xfId="8" applyNumberFormat="1" applyFont="1" applyBorder="1" applyAlignment="1">
      <alignment horizontal="center"/>
    </xf>
    <xf numFmtId="175" fontId="36" fillId="0" borderId="18" xfId="8" applyNumberFormat="1" applyFont="1" applyBorder="1" applyAlignment="1">
      <alignment horizontal="center"/>
    </xf>
    <xf numFmtId="175" fontId="36" fillId="0" borderId="1" xfId="8" applyNumberFormat="1" applyFont="1" applyFill="1" applyBorder="1" applyAlignment="1">
      <alignment horizontal="center"/>
    </xf>
    <xf numFmtId="175" fontId="36" fillId="0" borderId="18" xfId="8" applyNumberFormat="1" applyFont="1" applyFill="1" applyBorder="1" applyAlignment="1">
      <alignment horizontal="center"/>
    </xf>
    <xf numFmtId="0" fontId="36" fillId="0" borderId="0" xfId="8" applyFont="1" applyFill="1"/>
    <xf numFmtId="0" fontId="36" fillId="0" borderId="17" xfId="8" applyFont="1" applyBorder="1"/>
    <xf numFmtId="0" fontId="36" fillId="0" borderId="1" xfId="8" applyFont="1" applyBorder="1"/>
    <xf numFmtId="181" fontId="36" fillId="0" borderId="1" xfId="8" applyNumberFormat="1" applyFont="1" applyBorder="1" applyAlignment="1">
      <alignment horizontal="center"/>
    </xf>
    <xf numFmtId="181" fontId="36" fillId="0" borderId="18" xfId="8" applyNumberFormat="1" applyFont="1" applyBorder="1" applyAlignment="1">
      <alignment horizontal="center"/>
    </xf>
    <xf numFmtId="0" fontId="35" fillId="0" borderId="0" xfId="8" applyFont="1"/>
    <xf numFmtId="0" fontId="35" fillId="0" borderId="0" xfId="8" applyFont="1" applyAlignment="1">
      <alignment vertical="top"/>
    </xf>
    <xf numFmtId="0" fontId="36" fillId="0" borderId="17" xfId="8" applyFont="1" applyFill="1" applyBorder="1"/>
    <xf numFmtId="0" fontId="36" fillId="0" borderId="19" xfId="8" applyFont="1" applyBorder="1" applyAlignment="1">
      <alignment vertical="top"/>
    </xf>
    <xf numFmtId="0" fontId="36" fillId="0" borderId="3" xfId="8" applyFont="1" applyBorder="1" applyAlignment="1">
      <alignment vertical="top"/>
    </xf>
    <xf numFmtId="175" fontId="36" fillId="0" borderId="3" xfId="8" applyNumberFormat="1" applyFont="1" applyBorder="1" applyAlignment="1">
      <alignment horizontal="center" vertical="top"/>
    </xf>
    <xf numFmtId="175" fontId="36" fillId="0" borderId="20" xfId="8" applyNumberFormat="1" applyFont="1" applyBorder="1" applyAlignment="1">
      <alignment horizontal="center" vertical="top"/>
    </xf>
    <xf numFmtId="0" fontId="36" fillId="0" borderId="0" xfId="8" applyFont="1" applyAlignment="1">
      <alignment vertical="top"/>
    </xf>
    <xf numFmtId="0" fontId="36" fillId="0" borderId="1" xfId="9" applyFont="1" applyBorder="1"/>
    <xf numFmtId="0" fontId="36" fillId="0" borderId="18" xfId="9" applyFont="1" applyBorder="1"/>
    <xf numFmtId="0" fontId="36" fillId="0" borderId="17" xfId="9" applyFont="1" applyFill="1" applyBorder="1"/>
    <xf numFmtId="0" fontId="36" fillId="0" borderId="1" xfId="9" applyFont="1" applyFill="1" applyBorder="1"/>
    <xf numFmtId="0" fontId="36" fillId="0" borderId="0" xfId="9" applyFont="1" applyFill="1"/>
    <xf numFmtId="0" fontId="36" fillId="0" borderId="18" xfId="9" applyFont="1" applyFill="1" applyBorder="1"/>
    <xf numFmtId="176" fontId="36" fillId="0" borderId="1" xfId="8" applyNumberFormat="1" applyFont="1" applyBorder="1" applyAlignment="1">
      <alignment horizontal="center"/>
    </xf>
    <xf numFmtId="176" fontId="36" fillId="0" borderId="18" xfId="8" applyNumberFormat="1" applyFont="1" applyBorder="1" applyAlignment="1">
      <alignment horizontal="center"/>
    </xf>
    <xf numFmtId="0" fontId="36" fillId="0" borderId="1" xfId="8" applyFont="1" applyFill="1" applyBorder="1"/>
    <xf numFmtId="0" fontId="36" fillId="0" borderId="1" xfId="8" applyFont="1" applyFill="1" applyBorder="1" applyAlignment="1">
      <alignment horizontal="center"/>
    </xf>
    <xf numFmtId="0" fontId="36" fillId="0" borderId="18" xfId="8" applyFont="1" applyFill="1" applyBorder="1" applyAlignment="1">
      <alignment horizontal="center"/>
    </xf>
    <xf numFmtId="0" fontId="36" fillId="0" borderId="17" xfId="9" applyFont="1" applyBorder="1"/>
    <xf numFmtId="181" fontId="36" fillId="0" borderId="3" xfId="8" applyNumberFormat="1" applyFont="1" applyBorder="1" applyAlignment="1">
      <alignment horizontal="center" vertical="top"/>
    </xf>
    <xf numFmtId="181" fontId="36" fillId="0" borderId="20" xfId="8" applyNumberFormat="1" applyFont="1" applyBorder="1" applyAlignment="1">
      <alignment horizontal="center" vertical="top"/>
    </xf>
    <xf numFmtId="0" fontId="40" fillId="0" borderId="17" xfId="8" applyFont="1" applyBorder="1" applyAlignment="1">
      <alignment horizontal="center" vertical="center"/>
    </xf>
    <xf numFmtId="0" fontId="36" fillId="0" borderId="1" xfId="8" applyFont="1" applyBorder="1" applyAlignment="1">
      <alignment horizontal="center"/>
    </xf>
    <xf numFmtId="0" fontId="36" fillId="0" borderId="18" xfId="8" applyFont="1" applyBorder="1" applyAlignment="1">
      <alignment horizontal="center"/>
    </xf>
    <xf numFmtId="0" fontId="36" fillId="0" borderId="19" xfId="8" applyFont="1" applyFill="1" applyBorder="1" applyAlignment="1">
      <alignment vertical="top"/>
    </xf>
    <xf numFmtId="183" fontId="36" fillId="0" borderId="1" xfId="8" applyNumberFormat="1" applyFont="1" applyBorder="1" applyAlignment="1">
      <alignment horizontal="center"/>
    </xf>
    <xf numFmtId="183" fontId="36" fillId="0" borderId="18" xfId="8" applyNumberFormat="1" applyFont="1" applyBorder="1" applyAlignment="1">
      <alignment horizontal="center"/>
    </xf>
    <xf numFmtId="0" fontId="36" fillId="0" borderId="13" xfId="9" applyFont="1" applyFill="1" applyBorder="1" applyAlignment="1">
      <alignment vertical="top"/>
    </xf>
    <xf numFmtId="0" fontId="36" fillId="0" borderId="21" xfId="9" applyFont="1" applyBorder="1" applyAlignment="1">
      <alignment vertical="top"/>
    </xf>
    <xf numFmtId="38" fontId="36" fillId="0" borderId="21" xfId="8" applyNumberFormat="1" applyFont="1" applyBorder="1" applyAlignment="1">
      <alignment horizontal="center" vertical="top"/>
    </xf>
    <xf numFmtId="38" fontId="36" fillId="0" borderId="14" xfId="8" applyNumberFormat="1" applyFont="1" applyBorder="1" applyAlignment="1">
      <alignment horizontal="center" vertical="top"/>
    </xf>
    <xf numFmtId="0" fontId="36" fillId="0" borderId="0" xfId="3" applyFont="1"/>
    <xf numFmtId="0" fontId="36" fillId="0" borderId="0" xfId="3" applyFont="1" applyBorder="1"/>
    <xf numFmtId="0" fontId="36" fillId="0" borderId="2" xfId="3" applyFont="1" applyBorder="1" applyAlignment="1">
      <alignment vertical="top"/>
    </xf>
    <xf numFmtId="0" fontId="13" fillId="0" borderId="2" xfId="3" applyFont="1" applyBorder="1" applyAlignment="1">
      <alignment vertical="top"/>
    </xf>
    <xf numFmtId="0" fontId="35" fillId="0" borderId="2" xfId="3" applyFont="1" applyBorder="1" applyAlignment="1">
      <alignment vertical="center"/>
    </xf>
    <xf numFmtId="0" fontId="52" fillId="4" borderId="23" xfId="3" applyFont="1" applyFill="1" applyBorder="1" applyAlignment="1">
      <alignment vertical="top" wrapText="1"/>
    </xf>
    <xf numFmtId="0" fontId="13" fillId="0" borderId="0" xfId="3" applyFont="1"/>
    <xf numFmtId="0" fontId="53" fillId="0" borderId="0" xfId="3" applyFont="1"/>
    <xf numFmtId="0" fontId="54" fillId="0" borderId="0" xfId="6" applyFont="1" applyFill="1" applyBorder="1" applyAlignment="1"/>
    <xf numFmtId="0" fontId="56" fillId="0" borderId="0" xfId="3" applyFont="1" applyFill="1" applyProtection="1">
      <protection locked="0"/>
    </xf>
    <xf numFmtId="0" fontId="36" fillId="0" borderId="0" xfId="3" applyFont="1" applyFill="1" applyBorder="1"/>
    <xf numFmtId="0" fontId="54" fillId="0" borderId="0" xfId="3" applyFont="1" applyFill="1" applyBorder="1"/>
    <xf numFmtId="0" fontId="36" fillId="4" borderId="22" xfId="3" applyFont="1" applyFill="1" applyBorder="1" applyAlignment="1">
      <alignment horizontal="centerContinuous" vertical="center"/>
    </xf>
    <xf numFmtId="0" fontId="36" fillId="4" borderId="26" xfId="3" applyFont="1" applyFill="1" applyBorder="1" applyAlignment="1">
      <alignment horizontal="centerContinuous" vertical="center"/>
    </xf>
    <xf numFmtId="0" fontId="36" fillId="4" borderId="23" xfId="3" applyFont="1" applyFill="1" applyBorder="1" applyAlignment="1">
      <alignment horizontal="centerContinuous" vertical="center"/>
    </xf>
    <xf numFmtId="0" fontId="35" fillId="0" borderId="27" xfId="3" applyFont="1" applyBorder="1"/>
    <xf numFmtId="0" fontId="35" fillId="0" borderId="0" xfId="3" applyFont="1"/>
    <xf numFmtId="0" fontId="35" fillId="0" borderId="27" xfId="3" applyFont="1" applyBorder="1" applyAlignment="1">
      <alignment horizontal="center"/>
    </xf>
    <xf numFmtId="0" fontId="35" fillId="0" borderId="0" xfId="3" applyFont="1" applyBorder="1" applyAlignment="1">
      <alignment horizontal="center"/>
    </xf>
    <xf numFmtId="178" fontId="50" fillId="0" borderId="28" xfId="3" applyNumberFormat="1" applyFont="1" applyBorder="1" applyAlignment="1">
      <alignment horizontal="center"/>
    </xf>
    <xf numFmtId="178" fontId="50" fillId="0" borderId="29" xfId="3" applyNumberFormat="1" applyFont="1" applyBorder="1" applyAlignment="1">
      <alignment horizontal="center"/>
    </xf>
    <xf numFmtId="0" fontId="38" fillId="0" borderId="0" xfId="3" applyFont="1" applyBorder="1" applyAlignment="1"/>
    <xf numFmtId="0" fontId="35" fillId="0" borderId="0" xfId="3" applyFont="1" applyBorder="1"/>
    <xf numFmtId="1" fontId="59" fillId="0" borderId="30" xfId="3" applyNumberFormat="1" applyFont="1" applyBorder="1" applyAlignment="1"/>
    <xf numFmtId="0" fontId="35" fillId="2" borderId="31" xfId="3" applyFont="1" applyFill="1" applyBorder="1"/>
    <xf numFmtId="0" fontId="35" fillId="2" borderId="32" xfId="3" applyFont="1" applyFill="1" applyBorder="1"/>
    <xf numFmtId="182" fontId="35" fillId="2" borderId="33" xfId="3" applyNumberFormat="1" applyFont="1" applyFill="1" applyBorder="1" applyAlignment="1">
      <alignment horizontal="right"/>
    </xf>
    <xf numFmtId="0" fontId="35" fillId="2" borderId="33" xfId="3" applyFont="1" applyFill="1" applyBorder="1"/>
    <xf numFmtId="167" fontId="35" fillId="2" borderId="33" xfId="3" applyNumberFormat="1" applyFont="1" applyFill="1" applyBorder="1"/>
    <xf numFmtId="182" fontId="35" fillId="0" borderId="30" xfId="3" applyNumberFormat="1" applyFont="1" applyBorder="1" applyAlignment="1">
      <alignment horizontal="right"/>
    </xf>
    <xf numFmtId="167" fontId="35" fillId="0" borderId="30" xfId="3" applyNumberFormat="1" applyFont="1" applyBorder="1"/>
    <xf numFmtId="0" fontId="36" fillId="0" borderId="27" xfId="3" applyFont="1" applyBorder="1"/>
    <xf numFmtId="182" fontId="49" fillId="0" borderId="34" xfId="3" applyNumberFormat="1" applyFont="1" applyFill="1" applyBorder="1" applyAlignment="1">
      <alignment horizontal="right"/>
    </xf>
    <xf numFmtId="0" fontId="36" fillId="0" borderId="27" xfId="3" applyFont="1" applyFill="1" applyBorder="1"/>
    <xf numFmtId="167" fontId="36" fillId="0" borderId="30" xfId="3" applyNumberFormat="1" applyFont="1" applyFill="1" applyBorder="1"/>
    <xf numFmtId="184" fontId="36" fillId="0" borderId="34" xfId="3" applyNumberFormat="1" applyFont="1" applyFill="1" applyBorder="1" applyAlignment="1">
      <alignment horizontal="right"/>
    </xf>
    <xf numFmtId="169" fontId="35" fillId="0" borderId="30" xfId="3" applyNumberFormat="1" applyFont="1" applyBorder="1" applyAlignment="1">
      <alignment horizontal="right"/>
    </xf>
    <xf numFmtId="167" fontId="36" fillId="0" borderId="34" xfId="3" applyNumberFormat="1" applyFont="1" applyFill="1" applyBorder="1"/>
    <xf numFmtId="0" fontId="36" fillId="2" borderId="27" xfId="3" applyFont="1" applyFill="1" applyBorder="1"/>
    <xf numFmtId="0" fontId="36" fillId="2" borderId="0" xfId="3" applyFont="1" applyFill="1" applyBorder="1"/>
    <xf numFmtId="182" fontId="36" fillId="2" borderId="30" xfId="3" applyNumberFormat="1" applyFont="1" applyFill="1" applyBorder="1" applyAlignment="1">
      <alignment horizontal="right"/>
    </xf>
    <xf numFmtId="167" fontId="36" fillId="0" borderId="35" xfId="3" applyNumberFormat="1" applyFont="1" applyFill="1" applyBorder="1"/>
    <xf numFmtId="167" fontId="36" fillId="0" borderId="30" xfId="3" applyNumberFormat="1" applyFont="1" applyBorder="1"/>
    <xf numFmtId="0" fontId="36" fillId="0" borderId="35" xfId="3" applyFont="1" applyBorder="1"/>
    <xf numFmtId="0" fontId="36" fillId="0" borderId="36" xfId="3" applyFont="1" applyBorder="1"/>
    <xf numFmtId="184" fontId="36" fillId="0" borderId="30" xfId="3" applyNumberFormat="1" applyFont="1" applyBorder="1" applyAlignment="1">
      <alignment horizontal="right"/>
    </xf>
    <xf numFmtId="182" fontId="36" fillId="0" borderId="34" xfId="3" applyNumberFormat="1" applyFont="1" applyFill="1" applyBorder="1" applyAlignment="1">
      <alignment horizontal="right"/>
    </xf>
    <xf numFmtId="182" fontId="35" fillId="2" borderId="33" xfId="3" applyNumberFormat="1" applyFont="1" applyFill="1" applyBorder="1"/>
    <xf numFmtId="0" fontId="35" fillId="0" borderId="37" xfId="3" applyFont="1" applyBorder="1"/>
    <xf numFmtId="0" fontId="35" fillId="2" borderId="38" xfId="3" applyFont="1" applyFill="1" applyBorder="1"/>
    <xf numFmtId="0" fontId="35" fillId="2" borderId="39" xfId="3" applyFont="1" applyFill="1" applyBorder="1"/>
    <xf numFmtId="182" fontId="35" fillId="2" borderId="40" xfId="3" applyNumberFormat="1" applyFont="1" applyFill="1" applyBorder="1" applyAlignment="1">
      <alignment horizontal="right"/>
    </xf>
    <xf numFmtId="0" fontId="39" fillId="0" borderId="27" xfId="3" applyFont="1" applyBorder="1"/>
    <xf numFmtId="0" fontId="39" fillId="0" borderId="0" xfId="3" applyFont="1" applyBorder="1"/>
    <xf numFmtId="167" fontId="36" fillId="0" borderId="34" xfId="3" applyNumberFormat="1" applyFont="1" applyBorder="1"/>
    <xf numFmtId="0" fontId="36" fillId="0" borderId="41" xfId="3" applyFont="1" applyBorder="1"/>
    <xf numFmtId="0" fontId="36" fillId="0" borderId="42" xfId="3" applyFont="1" applyBorder="1"/>
    <xf numFmtId="182" fontId="36" fillId="0" borderId="43" xfId="3" applyNumberFormat="1" applyFont="1" applyFill="1" applyBorder="1"/>
    <xf numFmtId="167" fontId="35" fillId="0" borderId="30" xfId="3" applyNumberFormat="1" applyFont="1" applyFill="1" applyBorder="1"/>
    <xf numFmtId="182" fontId="36" fillId="0" borderId="34" xfId="3" applyNumberFormat="1" applyFont="1" applyFill="1" applyBorder="1"/>
    <xf numFmtId="172" fontId="36" fillId="2" borderId="30" xfId="3" applyNumberFormat="1" applyFont="1" applyFill="1" applyBorder="1"/>
    <xf numFmtId="0" fontId="36" fillId="0" borderId="44" xfId="3" applyFont="1" applyBorder="1"/>
    <xf numFmtId="0" fontId="36" fillId="0" borderId="45" xfId="3" applyFont="1" applyBorder="1"/>
    <xf numFmtId="0" fontId="35" fillId="0" borderId="0" xfId="3" applyFont="1" applyAlignment="1">
      <alignment horizontal="center"/>
    </xf>
    <xf numFmtId="0" fontId="35" fillId="0" borderId="46" xfId="3" applyFont="1" applyBorder="1"/>
    <xf numFmtId="0" fontId="35" fillId="0" borderId="47" xfId="3" applyFont="1" applyBorder="1"/>
    <xf numFmtId="172" fontId="35" fillId="0" borderId="28" xfId="3" applyNumberFormat="1" applyFont="1" applyBorder="1" applyAlignment="1">
      <alignment horizontal="center"/>
    </xf>
    <xf numFmtId="172" fontId="35" fillId="0" borderId="48" xfId="3" applyNumberFormat="1" applyFont="1" applyBorder="1" applyAlignment="1">
      <alignment horizontal="center"/>
    </xf>
    <xf numFmtId="167" fontId="35" fillId="0" borderId="30" xfId="3" applyNumberFormat="1" applyFont="1" applyBorder="1" applyAlignment="1">
      <alignment horizontal="center"/>
    </xf>
    <xf numFmtId="167" fontId="35" fillId="0" borderId="49" xfId="3" applyNumberFormat="1" applyFont="1" applyBorder="1" applyAlignment="1">
      <alignment horizontal="center"/>
    </xf>
    <xf numFmtId="0" fontId="35" fillId="0" borderId="0" xfId="3" applyFont="1" applyFill="1" applyAlignment="1">
      <alignment horizontal="center"/>
    </xf>
    <xf numFmtId="165" fontId="36" fillId="0" borderId="0" xfId="13" applyNumberFormat="1" applyFont="1"/>
    <xf numFmtId="0" fontId="35" fillId="0" borderId="0" xfId="3" applyFont="1" applyFill="1"/>
    <xf numFmtId="167" fontId="36" fillId="0" borderId="0" xfId="3" applyNumberFormat="1" applyFont="1" applyAlignment="1">
      <alignment horizontal="center"/>
    </xf>
    <xf numFmtId="0" fontId="35" fillId="0" borderId="50" xfId="3" applyFont="1" applyBorder="1"/>
    <xf numFmtId="0" fontId="35" fillId="0" borderId="51" xfId="3" applyFont="1" applyBorder="1"/>
    <xf numFmtId="167" fontId="35" fillId="0" borderId="52" xfId="3" applyNumberFormat="1" applyFont="1" applyBorder="1"/>
    <xf numFmtId="0" fontId="36" fillId="0" borderId="35" xfId="3" applyFont="1" applyFill="1" applyBorder="1"/>
    <xf numFmtId="167" fontId="36" fillId="0" borderId="52" xfId="3" applyNumberFormat="1" applyFont="1" applyBorder="1"/>
    <xf numFmtId="167" fontId="35" fillId="0" borderId="34" xfId="3" applyNumberFormat="1" applyFont="1" applyBorder="1"/>
    <xf numFmtId="170" fontId="36" fillId="0" borderId="30" xfId="3" applyNumberFormat="1" applyFont="1" applyBorder="1"/>
    <xf numFmtId="0" fontId="35" fillId="0" borderId="46" xfId="3" applyFont="1" applyBorder="1" applyAlignment="1">
      <alignment horizontal="center"/>
    </xf>
    <xf numFmtId="0" fontId="35" fillId="0" borderId="47" xfId="3" applyFont="1" applyBorder="1" applyAlignment="1">
      <alignment horizontal="center"/>
    </xf>
    <xf numFmtId="167" fontId="35" fillId="0" borderId="28" xfId="3" applyNumberFormat="1" applyFont="1" applyBorder="1"/>
    <xf numFmtId="0" fontId="13" fillId="0" borderId="36" xfId="3" applyFont="1" applyBorder="1"/>
    <xf numFmtId="165" fontId="36" fillId="0" borderId="0" xfId="3" applyNumberFormat="1" applyFont="1" applyBorder="1"/>
    <xf numFmtId="0" fontId="37" fillId="0" borderId="0" xfId="3" applyFont="1"/>
    <xf numFmtId="177" fontId="13" fillId="0" borderId="0" xfId="11" applyNumberFormat="1" applyFont="1"/>
    <xf numFmtId="177" fontId="13" fillId="0" borderId="0" xfId="11" applyNumberFormat="1" applyFont="1" applyFill="1"/>
    <xf numFmtId="0" fontId="13" fillId="0" borderId="0" xfId="11" applyFont="1" applyFill="1" applyAlignment="1"/>
    <xf numFmtId="187" fontId="16" fillId="2" borderId="4" xfId="11" applyNumberFormat="1" applyFont="1" applyFill="1" applyBorder="1" applyAlignment="1" applyProtection="1">
      <alignment horizontal="center" vertical="center"/>
      <protection locked="0"/>
    </xf>
    <xf numFmtId="187" fontId="17" fillId="0" borderId="4" xfId="11" applyNumberFormat="1" applyFont="1" applyFill="1" applyBorder="1" applyAlignment="1">
      <alignment horizontal="center" vertical="center"/>
    </xf>
    <xf numFmtId="177" fontId="1" fillId="5" borderId="5" xfId="11" applyNumberFormat="1" applyFont="1" applyFill="1" applyBorder="1"/>
    <xf numFmtId="177" fontId="13" fillId="5" borderId="6" xfId="11" applyNumberFormat="1" applyFont="1" applyFill="1" applyBorder="1"/>
    <xf numFmtId="177" fontId="3" fillId="5" borderId="53" xfId="11" applyNumberFormat="1" applyFont="1" applyFill="1" applyBorder="1"/>
    <xf numFmtId="167" fontId="36" fillId="0" borderId="0" xfId="3" applyNumberFormat="1" applyFont="1"/>
    <xf numFmtId="177" fontId="62" fillId="0" borderId="0" xfId="11" applyNumberFormat="1" applyFont="1" applyAlignment="1">
      <alignment horizontal="right"/>
    </xf>
    <xf numFmtId="0" fontId="1" fillId="0" borderId="0" xfId="10" applyFont="1" applyFill="1" applyBorder="1" applyAlignment="1">
      <alignment vertical="center"/>
    </xf>
    <xf numFmtId="0" fontId="46" fillId="0" borderId="22" xfId="3" applyFont="1" applyBorder="1" applyAlignment="1">
      <alignment horizontal="centerContinuous"/>
    </xf>
    <xf numFmtId="0" fontId="46" fillId="0" borderId="26" xfId="3" applyFont="1" applyBorder="1" applyAlignment="1">
      <alignment horizontal="centerContinuous"/>
    </xf>
    <xf numFmtId="0" fontId="46" fillId="0" borderId="23" xfId="3" applyFont="1" applyBorder="1" applyAlignment="1">
      <alignment horizontal="centerContinuous"/>
    </xf>
    <xf numFmtId="165" fontId="67" fillId="0" borderId="4" xfId="13" applyNumberFormat="1" applyFont="1" applyBorder="1"/>
    <xf numFmtId="187" fontId="46" fillId="0" borderId="4" xfId="3" applyNumberFormat="1" applyFont="1" applyBorder="1"/>
    <xf numFmtId="0" fontId="38" fillId="0" borderId="27" xfId="3" applyFont="1" applyBorder="1" applyAlignment="1"/>
    <xf numFmtId="191" fontId="13" fillId="0" borderId="0" xfId="10" applyNumberFormat="1" applyFont="1"/>
    <xf numFmtId="0" fontId="64" fillId="0" borderId="54" xfId="3" applyFont="1" applyBorder="1" applyAlignment="1">
      <alignment vertical="center"/>
    </xf>
    <xf numFmtId="0" fontId="38" fillId="0" borderId="54" xfId="3" applyFont="1" applyBorder="1" applyAlignment="1">
      <alignment vertical="center"/>
    </xf>
    <xf numFmtId="0" fontId="69" fillId="6" borderId="0" xfId="3" applyFont="1" applyFill="1" applyProtection="1">
      <protection locked="0"/>
    </xf>
    <xf numFmtId="0" fontId="70" fillId="0" borderId="2" xfId="3" applyFont="1" applyFill="1" applyBorder="1" applyAlignment="1">
      <alignment vertical="top" wrapText="1"/>
    </xf>
    <xf numFmtId="167" fontId="72" fillId="3" borderId="0" xfId="10" applyNumberFormat="1" applyFont="1" applyFill="1" applyBorder="1" applyAlignment="1">
      <alignment vertical="center"/>
    </xf>
    <xf numFmtId="167" fontId="71" fillId="3" borderId="0" xfId="10" applyNumberFormat="1" applyFont="1" applyFill="1" applyBorder="1" applyAlignment="1">
      <alignment horizontal="center" vertical="top"/>
    </xf>
    <xf numFmtId="0" fontId="45" fillId="0" borderId="0" xfId="6" applyFont="1" applyFill="1" applyBorder="1"/>
    <xf numFmtId="0" fontId="39" fillId="4" borderId="0" xfId="6" applyFont="1" applyFill="1" applyBorder="1" applyAlignment="1">
      <alignment horizontal="centerContinuous" vertical="top" wrapText="1"/>
    </xf>
    <xf numFmtId="0" fontId="45" fillId="4" borderId="0" xfId="6" applyFont="1" applyFill="1" applyBorder="1" applyAlignment="1">
      <alignment horizontal="centerContinuous" vertical="top" wrapText="1"/>
    </xf>
    <xf numFmtId="37" fontId="45" fillId="4" borderId="0" xfId="6" applyNumberFormat="1" applyFont="1" applyFill="1" applyBorder="1" applyAlignment="1">
      <alignment horizontal="centerContinuous" vertical="top" wrapText="1"/>
    </xf>
    <xf numFmtId="37" fontId="45" fillId="4" borderId="0" xfId="6" applyNumberFormat="1" applyFont="1" applyFill="1" applyBorder="1" applyAlignment="1">
      <alignment horizontal="centerContinuous"/>
    </xf>
    <xf numFmtId="0" fontId="13" fillId="4" borderId="0" xfId="5" applyFont="1" applyFill="1"/>
    <xf numFmtId="0" fontId="45" fillId="4" borderId="0" xfId="6" applyFont="1" applyFill="1" applyBorder="1" applyAlignment="1">
      <alignment horizontal="centerContinuous"/>
    </xf>
    <xf numFmtId="0" fontId="45" fillId="4" borderId="18" xfId="6" applyFont="1" applyFill="1" applyBorder="1" applyAlignment="1">
      <alignment horizontal="centerContinuous"/>
    </xf>
    <xf numFmtId="0" fontId="12" fillId="4" borderId="55" xfId="6" applyFont="1" applyFill="1" applyBorder="1" applyAlignment="1">
      <alignment horizontal="centerContinuous"/>
    </xf>
    <xf numFmtId="0" fontId="12" fillId="4" borderId="56" xfId="6" applyFont="1" applyFill="1" applyBorder="1" applyAlignment="1">
      <alignment horizontal="centerContinuous"/>
    </xf>
    <xf numFmtId="0" fontId="39" fillId="4" borderId="0" xfId="6" applyFont="1" applyFill="1" applyBorder="1" applyAlignment="1"/>
    <xf numFmtId="0" fontId="45" fillId="4" borderId="0" xfId="6" applyFont="1" applyFill="1" applyBorder="1" applyAlignment="1"/>
    <xf numFmtId="37" fontId="45" fillId="4" borderId="0" xfId="6" applyNumberFormat="1" applyFont="1" applyFill="1" applyBorder="1" applyAlignment="1"/>
    <xf numFmtId="37" fontId="12" fillId="6" borderId="25" xfId="6" applyNumberFormat="1" applyFont="1" applyFill="1" applyBorder="1" applyAlignment="1">
      <alignment horizontal="center" vertical="center"/>
    </xf>
    <xf numFmtId="37" fontId="12" fillId="4" borderId="0" xfId="6" applyNumberFormat="1" applyFont="1" applyFill="1" applyBorder="1" applyAlignment="1">
      <alignment horizontal="centerContinuous" vertical="center"/>
    </xf>
    <xf numFmtId="0" fontId="45" fillId="4" borderId="0" xfId="6" applyFont="1" applyFill="1" applyBorder="1" applyAlignment="1">
      <alignment horizontal="centerContinuous" vertical="center"/>
    </xf>
    <xf numFmtId="0" fontId="45" fillId="4" borderId="18" xfId="6" applyFont="1" applyFill="1" applyBorder="1" applyAlignment="1">
      <alignment horizontal="centerContinuous" vertical="center"/>
    </xf>
    <xf numFmtId="0" fontId="45" fillId="0" borderId="0" xfId="6" applyFont="1" applyFill="1" applyBorder="1" applyAlignment="1"/>
    <xf numFmtId="0" fontId="12" fillId="4" borderId="24" xfId="6" applyFont="1" applyFill="1" applyBorder="1" applyAlignment="1">
      <alignment horizontal="centerContinuous" vertical="top"/>
    </xf>
    <xf numFmtId="0" fontId="12" fillId="4" borderId="1" xfId="6" applyFont="1" applyFill="1" applyBorder="1" applyAlignment="1">
      <alignment horizontal="centerContinuous" vertical="top"/>
    </xf>
    <xf numFmtId="0" fontId="13" fillId="0" borderId="0" xfId="5" applyFont="1"/>
    <xf numFmtId="0" fontId="30" fillId="4" borderId="12" xfId="6" applyFont="1" applyFill="1" applyBorder="1" applyAlignment="1">
      <alignment vertical="center"/>
    </xf>
    <xf numFmtId="0" fontId="35" fillId="4" borderId="12" xfId="6" applyFont="1" applyFill="1" applyBorder="1" applyAlignment="1">
      <alignment vertical="center"/>
    </xf>
    <xf numFmtId="37" fontId="35" fillId="4" borderId="12" xfId="6" applyNumberFormat="1" applyFont="1" applyFill="1" applyBorder="1" applyAlignment="1">
      <alignment vertical="center"/>
    </xf>
    <xf numFmtId="37" fontId="35" fillId="4" borderId="12" xfId="6" applyNumberFormat="1" applyFont="1" applyFill="1" applyBorder="1" applyAlignment="1">
      <alignment vertical="top"/>
    </xf>
    <xf numFmtId="0" fontId="35" fillId="4" borderId="12" xfId="5" applyFont="1" applyFill="1" applyBorder="1" applyAlignment="1">
      <alignment horizontal="centerContinuous" vertical="center"/>
    </xf>
    <xf numFmtId="0" fontId="45" fillId="4" borderId="12" xfId="6" applyFont="1" applyFill="1" applyBorder="1" applyAlignment="1">
      <alignment horizontal="centerContinuous" vertical="center"/>
    </xf>
    <xf numFmtId="0" fontId="45" fillId="4" borderId="14" xfId="6" applyFont="1" applyFill="1" applyBorder="1" applyAlignment="1">
      <alignment horizontal="centerContinuous" vertical="center"/>
    </xf>
    <xf numFmtId="0" fontId="45" fillId="0" borderId="0" xfId="6" applyFont="1" applyFill="1" applyBorder="1" applyAlignment="1">
      <alignment vertical="top"/>
    </xf>
    <xf numFmtId="0" fontId="12" fillId="4" borderId="57" xfId="6" applyFont="1" applyFill="1" applyBorder="1" applyAlignment="1">
      <alignment horizontal="center"/>
    </xf>
    <xf numFmtId="0" fontId="12" fillId="4" borderId="3" xfId="6" applyFont="1" applyFill="1" applyBorder="1" applyAlignment="1">
      <alignment horizontal="center"/>
    </xf>
    <xf numFmtId="0" fontId="13" fillId="0" borderId="0" xfId="5" applyFont="1" applyFill="1" applyAlignment="1">
      <alignment vertical="center"/>
    </xf>
    <xf numFmtId="0" fontId="36" fillId="0" borderId="0" xfId="6" applyFont="1" applyFill="1" applyBorder="1" applyAlignment="1">
      <alignment vertical="center"/>
    </xf>
    <xf numFmtId="37" fontId="36" fillId="0" borderId="0" xfId="6" applyNumberFormat="1" applyFont="1" applyFill="1" applyBorder="1" applyAlignment="1">
      <alignment vertical="center"/>
    </xf>
    <xf numFmtId="0" fontId="36" fillId="0" borderId="1" xfId="5" applyFont="1" applyFill="1" applyBorder="1" applyAlignment="1">
      <alignment vertical="center"/>
    </xf>
    <xf numFmtId="0" fontId="45" fillId="0" borderId="0" xfId="6" applyFont="1" applyFill="1" applyBorder="1" applyAlignment="1">
      <alignment horizontal="centerContinuous" vertical="center"/>
    </xf>
    <xf numFmtId="0" fontId="12" fillId="0" borderId="0" xfId="6" applyFont="1" applyFill="1" applyBorder="1" applyAlignment="1">
      <alignment horizontal="center"/>
    </xf>
    <xf numFmtId="0" fontId="13" fillId="0" borderId="0" xfId="5" applyFont="1" applyFill="1"/>
    <xf numFmtId="0" fontId="45" fillId="0" borderId="0" xfId="6" applyFont="1" applyFill="1" applyBorder="1" applyAlignment="1">
      <alignment vertical="center"/>
    </xf>
    <xf numFmtId="37" fontId="45" fillId="0" borderId="0" xfId="6" applyNumberFormat="1" applyFont="1" applyFill="1" applyBorder="1" applyAlignment="1">
      <alignment vertical="center"/>
    </xf>
    <xf numFmtId="37" fontId="45" fillId="0" borderId="1" xfId="6" applyNumberFormat="1" applyFont="1" applyFill="1" applyBorder="1" applyAlignment="1">
      <alignment vertical="center"/>
    </xf>
    <xf numFmtId="0" fontId="45" fillId="0" borderId="0" xfId="6" applyFont="1" applyFill="1" applyBorder="1" applyAlignment="1">
      <alignment horizontal="centerContinuous" vertical="top" wrapText="1"/>
    </xf>
    <xf numFmtId="0" fontId="36" fillId="0" borderId="42" xfId="6" applyFont="1" applyFill="1" applyBorder="1" applyAlignment="1">
      <alignment vertical="center"/>
    </xf>
    <xf numFmtId="0" fontId="45" fillId="0" borderId="42" xfId="6" applyFont="1" applyFill="1" applyBorder="1" applyAlignment="1">
      <alignment vertical="center"/>
    </xf>
    <xf numFmtId="37" fontId="45" fillId="0" borderId="42" xfId="6" applyNumberFormat="1" applyFont="1" applyFill="1" applyBorder="1" applyAlignment="1">
      <alignment vertical="center"/>
    </xf>
    <xf numFmtId="37" fontId="45" fillId="0" borderId="58" xfId="6" applyNumberFormat="1" applyFont="1" applyFill="1" applyBorder="1" applyAlignment="1">
      <alignment vertical="center"/>
    </xf>
    <xf numFmtId="0" fontId="36" fillId="0" borderId="59" xfId="6" applyFont="1" applyFill="1" applyBorder="1" applyAlignment="1">
      <alignment vertical="center"/>
    </xf>
    <xf numFmtId="0" fontId="45" fillId="0" borderId="45" xfId="6" applyFont="1" applyFill="1" applyBorder="1" applyAlignment="1">
      <alignment vertical="center"/>
    </xf>
    <xf numFmtId="37" fontId="45" fillId="0" borderId="45" xfId="6" applyNumberFormat="1" applyFont="1" applyFill="1" applyBorder="1" applyAlignment="1">
      <alignment vertical="center"/>
    </xf>
    <xf numFmtId="37" fontId="45" fillId="0" borderId="60" xfId="6" applyNumberFormat="1" applyFont="1" applyFill="1" applyBorder="1" applyAlignment="1">
      <alignment vertical="center"/>
    </xf>
    <xf numFmtId="0" fontId="45" fillId="0" borderId="45" xfId="6" applyFont="1" applyFill="1" applyBorder="1" applyAlignment="1">
      <alignment horizontal="centerContinuous" vertical="top" wrapText="1"/>
    </xf>
    <xf numFmtId="0" fontId="36" fillId="0" borderId="0" xfId="6" applyFont="1" applyFill="1" applyBorder="1" applyAlignment="1">
      <alignment vertical="top" wrapText="1"/>
    </xf>
    <xf numFmtId="0" fontId="45" fillId="0" borderId="0" xfId="6" applyFont="1" applyFill="1" applyBorder="1" applyAlignment="1">
      <alignment vertical="top" wrapText="1"/>
    </xf>
    <xf numFmtId="37" fontId="45" fillId="0" borderId="0" xfId="6" applyNumberFormat="1" applyFont="1" applyFill="1" applyBorder="1" applyAlignment="1">
      <alignment vertical="top" wrapText="1"/>
    </xf>
    <xf numFmtId="0" fontId="36" fillId="0" borderId="0" xfId="5" applyFont="1"/>
    <xf numFmtId="0" fontId="36" fillId="0" borderId="0" xfId="6" applyFont="1"/>
    <xf numFmtId="37" fontId="12" fillId="0" borderId="0" xfId="6" applyNumberFormat="1" applyFont="1" applyFill="1" applyBorder="1" applyAlignment="1">
      <alignment horizontal="right" vertical="center"/>
    </xf>
    <xf numFmtId="15" fontId="12" fillId="0" borderId="0" xfId="6" applyNumberFormat="1" applyFont="1" applyFill="1" applyBorder="1" applyAlignment="1">
      <alignment horizontal="left" vertical="center"/>
    </xf>
    <xf numFmtId="0" fontId="12" fillId="0" borderId="0" xfId="6" applyFont="1" applyFill="1" applyBorder="1" applyAlignment="1">
      <alignment horizontal="right"/>
    </xf>
    <xf numFmtId="0" fontId="35" fillId="0" borderId="0" xfId="6" applyFont="1" applyFill="1" applyBorder="1"/>
    <xf numFmtId="0" fontId="43" fillId="0" borderId="0" xfId="6" applyFont="1" applyFill="1" applyBorder="1"/>
    <xf numFmtId="0" fontId="77" fillId="0" borderId="0" xfId="6" applyFont="1" applyFill="1" applyBorder="1"/>
    <xf numFmtId="37" fontId="42" fillId="0" borderId="0" xfId="6" applyNumberFormat="1" applyFont="1" applyFill="1" applyBorder="1" applyAlignment="1"/>
    <xf numFmtId="0" fontId="78" fillId="0" borderId="0" xfId="6" applyFont="1" applyFill="1" applyBorder="1" applyAlignment="1">
      <alignment horizontal="right"/>
    </xf>
    <xf numFmtId="0" fontId="35" fillId="6" borderId="0" xfId="6" applyFont="1" applyFill="1"/>
    <xf numFmtId="0" fontId="36" fillId="6" borderId="0" xfId="6" applyFont="1" applyFill="1"/>
    <xf numFmtId="0" fontId="76" fillId="0" borderId="0" xfId="6" applyFont="1" applyFill="1" applyBorder="1"/>
    <xf numFmtId="0" fontId="12" fillId="0" borderId="0" xfId="6" applyFont="1" applyFill="1" applyBorder="1"/>
    <xf numFmtId="37" fontId="45" fillId="0" borderId="0" xfId="6" applyNumberFormat="1" applyFont="1" applyFill="1" applyBorder="1" applyAlignment="1"/>
    <xf numFmtId="0" fontId="76" fillId="0" borderId="2" xfId="6" applyFont="1" applyFill="1" applyBorder="1" applyAlignment="1">
      <alignment vertical="center"/>
    </xf>
    <xf numFmtId="0" fontId="45" fillId="0" borderId="2" xfId="6" applyFont="1" applyFill="1" applyBorder="1" applyAlignment="1">
      <alignment vertical="center"/>
    </xf>
    <xf numFmtId="0" fontId="45" fillId="0" borderId="2" xfId="6" applyFont="1" applyFill="1" applyBorder="1" applyAlignment="1">
      <alignment horizontal="centerContinuous" vertical="center"/>
    </xf>
    <xf numFmtId="16" fontId="45" fillId="0" borderId="2" xfId="6" applyNumberFormat="1" applyFont="1" applyFill="1" applyBorder="1" applyAlignment="1"/>
    <xf numFmtId="37" fontId="45" fillId="0" borderId="2" xfId="6" applyNumberFormat="1" applyFont="1" applyFill="1" applyBorder="1" applyAlignment="1"/>
    <xf numFmtId="0" fontId="45" fillId="0" borderId="2" xfId="6" applyFont="1" applyFill="1" applyBorder="1"/>
    <xf numFmtId="0" fontId="76" fillId="0" borderId="0" xfId="6" applyFont="1" applyFill="1" applyBorder="1" applyAlignment="1">
      <alignment vertical="center"/>
    </xf>
    <xf numFmtId="16" fontId="45" fillId="0" borderId="0" xfId="6" applyNumberFormat="1" applyFont="1" applyFill="1" applyBorder="1" applyAlignment="1"/>
    <xf numFmtId="16" fontId="79" fillId="0" borderId="0" xfId="6" applyNumberFormat="1" applyFont="1" applyFill="1" applyBorder="1" applyAlignment="1">
      <alignment horizontal="centerContinuous"/>
    </xf>
    <xf numFmtId="16" fontId="80" fillId="0" borderId="0" xfId="6" applyNumberFormat="1" applyFont="1" applyFill="1" applyBorder="1" applyAlignment="1">
      <alignment horizontal="centerContinuous"/>
    </xf>
    <xf numFmtId="37" fontId="80" fillId="0" borderId="0" xfId="6" applyNumberFormat="1" applyFont="1" applyFill="1" applyBorder="1" applyAlignment="1">
      <alignment horizontal="centerContinuous"/>
    </xf>
    <xf numFmtId="37" fontId="79" fillId="0" borderId="0" xfId="6" applyNumberFormat="1" applyFont="1" applyFill="1" applyBorder="1" applyAlignment="1">
      <alignment horizontal="centerContinuous"/>
    </xf>
    <xf numFmtId="0" fontId="80" fillId="0" borderId="0" xfId="6" applyFont="1" applyFill="1" applyBorder="1" applyAlignment="1">
      <alignment horizontal="centerContinuous"/>
    </xf>
    <xf numFmtId="0" fontId="81" fillId="0" borderId="0" xfId="6" applyFont="1" applyFill="1" applyBorder="1"/>
    <xf numFmtId="188" fontId="82" fillId="0" borderId="0" xfId="6" applyNumberFormat="1" applyFont="1" applyFill="1" applyBorder="1" applyAlignment="1">
      <alignment horizontal="right"/>
    </xf>
    <xf numFmtId="0" fontId="78" fillId="0" borderId="0" xfId="6" applyFont="1" applyFill="1" applyBorder="1"/>
    <xf numFmtId="0" fontId="38" fillId="0" borderId="0" xfId="6" applyFont="1" applyFill="1" applyBorder="1" applyAlignment="1"/>
    <xf numFmtId="1" fontId="45" fillId="0" borderId="0" xfId="6" applyNumberFormat="1" applyFont="1" applyFill="1" applyBorder="1" applyAlignment="1"/>
    <xf numFmtId="0" fontId="38" fillId="0" borderId="0" xfId="6" applyFont="1" applyFill="1" applyBorder="1" applyAlignment="1">
      <alignment horizontal="left"/>
    </xf>
    <xf numFmtId="1" fontId="39" fillId="0" borderId="0" xfId="6" applyNumberFormat="1" applyFont="1" applyFill="1" applyBorder="1" applyAlignment="1">
      <alignment horizontal="left"/>
    </xf>
    <xf numFmtId="1" fontId="45" fillId="0" borderId="0" xfId="6" applyNumberFormat="1" applyFont="1" applyFill="1" applyBorder="1" applyAlignment="1">
      <alignment horizontal="left"/>
    </xf>
    <xf numFmtId="1" fontId="83" fillId="0" borderId="0" xfId="6" applyNumberFormat="1" applyFont="1" applyFill="1" applyBorder="1" applyAlignment="1">
      <alignment horizontal="left"/>
    </xf>
    <xf numFmtId="0" fontId="84" fillId="0" borderId="0" xfId="6" applyFont="1" applyFill="1" applyBorder="1"/>
    <xf numFmtId="175" fontId="36" fillId="0" borderId="0" xfId="8" applyNumberFormat="1" applyFont="1" applyFill="1" applyBorder="1" applyAlignment="1"/>
    <xf numFmtId="175" fontId="35" fillId="2" borderId="55" xfId="8" applyNumberFormat="1" applyFont="1" applyFill="1" applyBorder="1" applyAlignment="1">
      <alignment horizontal="right"/>
    </xf>
    <xf numFmtId="175" fontId="35" fillId="2" borderId="11" xfId="8" applyNumberFormat="1" applyFont="1" applyFill="1" applyBorder="1" applyAlignment="1">
      <alignment horizontal="right"/>
    </xf>
    <xf numFmtId="175" fontId="35" fillId="2" borderId="56" xfId="8" applyNumberFormat="1" applyFont="1" applyFill="1" applyBorder="1" applyAlignment="1">
      <alignment horizontal="right"/>
    </xf>
    <xf numFmtId="175" fontId="35" fillId="0" borderId="55" xfId="8" applyNumberFormat="1" applyFont="1" applyFill="1" applyBorder="1" applyAlignment="1">
      <alignment horizontal="right"/>
    </xf>
    <xf numFmtId="175" fontId="35" fillId="0" borderId="61" xfId="8" applyNumberFormat="1" applyFont="1" applyFill="1" applyBorder="1" applyAlignment="1">
      <alignment horizontal="right"/>
    </xf>
    <xf numFmtId="175" fontId="36" fillId="0" borderId="0" xfId="8" applyNumberFormat="1" applyFont="1" applyFill="1" applyBorder="1" applyAlignment="1">
      <alignment horizontal="right"/>
    </xf>
    <xf numFmtId="0" fontId="85" fillId="0" borderId="0" xfId="6" applyFont="1" applyFill="1" applyBorder="1" applyAlignment="1">
      <alignment horizontal="center"/>
    </xf>
    <xf numFmtId="179" fontId="35" fillId="2" borderId="24" xfId="8" applyNumberFormat="1" applyFont="1" applyFill="1" applyBorder="1" applyAlignment="1">
      <alignment horizontal="right"/>
    </xf>
    <xf numFmtId="179" fontId="35" fillId="2" borderId="0" xfId="8" applyNumberFormat="1" applyFont="1" applyFill="1" applyBorder="1" applyAlignment="1">
      <alignment horizontal="right"/>
    </xf>
    <xf numFmtId="179" fontId="35" fillId="2" borderId="1" xfId="8" applyNumberFormat="1" applyFont="1" applyFill="1" applyBorder="1" applyAlignment="1">
      <alignment horizontal="right"/>
    </xf>
    <xf numFmtId="179" fontId="35" fillId="2" borderId="62" xfId="8" applyNumberFormat="1" applyFont="1" applyFill="1" applyBorder="1" applyAlignment="1">
      <alignment horizontal="right"/>
    </xf>
    <xf numFmtId="0" fontId="36" fillId="0" borderId="0" xfId="5" applyFont="1" applyFill="1" applyBorder="1"/>
    <xf numFmtId="175" fontId="35" fillId="2" borderId="24" xfId="8" applyNumberFormat="1" applyFont="1" applyFill="1" applyBorder="1" applyAlignment="1">
      <alignment horizontal="right"/>
    </xf>
    <xf numFmtId="175" fontId="35" fillId="2" borderId="0" xfId="8" applyNumberFormat="1" applyFont="1" applyFill="1" applyBorder="1" applyAlignment="1">
      <alignment horizontal="right"/>
    </xf>
    <xf numFmtId="175" fontId="35" fillId="2" borderId="1" xfId="8" applyNumberFormat="1" applyFont="1" applyFill="1" applyBorder="1" applyAlignment="1">
      <alignment horizontal="right"/>
    </xf>
    <xf numFmtId="175" fontId="35" fillId="0" borderId="24" xfId="8" applyNumberFormat="1" applyFont="1" applyFill="1" applyBorder="1" applyAlignment="1">
      <alignment horizontal="right"/>
    </xf>
    <xf numFmtId="175" fontId="35" fillId="0" borderId="62" xfId="8" applyNumberFormat="1" applyFont="1" applyFill="1" applyBorder="1" applyAlignment="1">
      <alignment horizontal="right"/>
    </xf>
    <xf numFmtId="175" fontId="12" fillId="2" borderId="57" xfId="6" applyNumberFormat="1" applyFont="1" applyFill="1" applyBorder="1" applyAlignment="1">
      <alignment horizontal="right"/>
    </xf>
    <xf numFmtId="175" fontId="12" fillId="2" borderId="2" xfId="6" applyNumberFormat="1" applyFont="1" applyFill="1" applyBorder="1" applyAlignment="1">
      <alignment horizontal="right"/>
    </xf>
    <xf numFmtId="175" fontId="12" fillId="2" borderId="3" xfId="6" applyNumberFormat="1" applyFont="1" applyFill="1" applyBorder="1" applyAlignment="1">
      <alignment horizontal="right"/>
    </xf>
    <xf numFmtId="175" fontId="35" fillId="0" borderId="57" xfId="8" applyNumberFormat="1" applyFont="1" applyFill="1" applyBorder="1" applyAlignment="1">
      <alignment horizontal="right"/>
    </xf>
    <xf numFmtId="175" fontId="35" fillId="0" borderId="63" xfId="8" applyNumberFormat="1" applyFont="1" applyFill="1" applyBorder="1" applyAlignment="1">
      <alignment horizontal="right"/>
    </xf>
    <xf numFmtId="0" fontId="35" fillId="0" borderId="0" xfId="5" applyFont="1"/>
    <xf numFmtId="0" fontId="38" fillId="0" borderId="0" xfId="5" applyFont="1" applyAlignment="1">
      <alignment horizontal="left"/>
    </xf>
    <xf numFmtId="0" fontId="17" fillId="0" borderId="0" xfId="5" applyFont="1" applyFill="1" applyBorder="1"/>
    <xf numFmtId="181" fontId="43" fillId="2" borderId="55" xfId="6" applyNumberFormat="1" applyFont="1" applyFill="1" applyBorder="1" applyAlignment="1">
      <alignment horizontal="right"/>
    </xf>
    <xf numFmtId="181" fontId="12" fillId="2" borderId="11" xfId="6" applyNumberFormat="1" applyFont="1" applyFill="1" applyBorder="1" applyAlignment="1">
      <alignment horizontal="right"/>
    </xf>
    <xf numFmtId="181" fontId="12" fillId="2" borderId="56" xfId="6" applyNumberFormat="1" applyFont="1" applyFill="1" applyBorder="1" applyAlignment="1">
      <alignment horizontal="right"/>
    </xf>
    <xf numFmtId="181" fontId="35" fillId="0" borderId="55" xfId="8" applyNumberFormat="1" applyFont="1" applyFill="1" applyBorder="1" applyAlignment="1">
      <alignment horizontal="right"/>
    </xf>
    <xf numFmtId="181" fontId="35" fillId="0" borderId="61" xfId="8" applyNumberFormat="1" applyFont="1" applyFill="1" applyBorder="1" applyAlignment="1">
      <alignment horizontal="right"/>
    </xf>
    <xf numFmtId="181" fontId="43" fillId="2" borderId="24" xfId="6" applyNumberFormat="1" applyFont="1" applyFill="1" applyBorder="1" applyAlignment="1">
      <alignment horizontal="right"/>
    </xf>
    <xf numFmtId="181" fontId="12" fillId="2" borderId="0" xfId="6" applyNumberFormat="1" applyFont="1" applyFill="1" applyBorder="1" applyAlignment="1">
      <alignment horizontal="right"/>
    </xf>
    <xf numFmtId="181" fontId="12" fillId="2" borderId="1" xfId="6" applyNumberFormat="1" applyFont="1" applyFill="1" applyBorder="1" applyAlignment="1">
      <alignment horizontal="right"/>
    </xf>
    <xf numFmtId="181" fontId="35" fillId="0" borderId="24" xfId="8" applyNumberFormat="1" applyFont="1" applyFill="1" applyBorder="1" applyAlignment="1">
      <alignment horizontal="right"/>
    </xf>
    <xf numFmtId="181" fontId="35" fillId="0" borderId="62" xfId="8" applyNumberFormat="1" applyFont="1" applyFill="1" applyBorder="1" applyAlignment="1">
      <alignment horizontal="right"/>
    </xf>
    <xf numFmtId="175" fontId="12" fillId="2" borderId="24" xfId="6" applyNumberFormat="1" applyFont="1" applyFill="1" applyBorder="1" applyAlignment="1">
      <alignment horizontal="right"/>
    </xf>
    <xf numFmtId="175" fontId="12" fillId="2" borderId="0" xfId="6" applyNumberFormat="1" applyFont="1" applyFill="1" applyBorder="1" applyAlignment="1">
      <alignment horizontal="right"/>
    </xf>
    <xf numFmtId="175" fontId="12" fillId="2" borderId="1" xfId="6" applyNumberFormat="1" applyFont="1" applyFill="1" applyBorder="1" applyAlignment="1">
      <alignment horizontal="right"/>
    </xf>
    <xf numFmtId="181" fontId="35" fillId="0" borderId="57" xfId="8" applyNumberFormat="1" applyFont="1" applyFill="1" applyBorder="1" applyAlignment="1">
      <alignment horizontal="right"/>
    </xf>
    <xf numFmtId="181" fontId="35" fillId="0" borderId="63" xfId="8" applyNumberFormat="1" applyFont="1" applyFill="1" applyBorder="1" applyAlignment="1">
      <alignment horizontal="right"/>
    </xf>
    <xf numFmtId="175" fontId="83" fillId="0" borderId="0" xfId="6" applyNumberFormat="1" applyFont="1" applyFill="1" applyBorder="1" applyAlignment="1">
      <alignment horizontal="centerContinuous" vertical="top" wrapText="1"/>
    </xf>
    <xf numFmtId="175" fontId="12" fillId="0" borderId="0" xfId="6" applyNumberFormat="1" applyFont="1" applyFill="1" applyBorder="1" applyAlignment="1">
      <alignment horizontal="centerContinuous" vertical="top" wrapText="1"/>
    </xf>
    <xf numFmtId="175" fontId="35" fillId="0" borderId="0" xfId="6" applyNumberFormat="1" applyFont="1" applyFill="1" applyBorder="1" applyAlignment="1">
      <alignment horizontal="centerContinuous" vertical="top" wrapText="1"/>
    </xf>
    <xf numFmtId="0" fontId="38" fillId="0" borderId="0" xfId="6" applyFont="1" applyFill="1" applyBorder="1"/>
    <xf numFmtId="0" fontId="83" fillId="0" borderId="0" xfId="6" applyFont="1" applyFill="1" applyBorder="1" applyAlignment="1">
      <alignment horizontal="left"/>
    </xf>
    <xf numFmtId="176" fontId="12" fillId="2" borderId="55" xfId="6" applyNumberFormat="1" applyFont="1" applyFill="1" applyBorder="1" applyAlignment="1">
      <alignment horizontal="right"/>
    </xf>
    <xf numFmtId="176" fontId="12" fillId="2" borderId="11" xfId="6" applyNumberFormat="1" applyFont="1" applyFill="1" applyBorder="1" applyAlignment="1">
      <alignment horizontal="right"/>
    </xf>
    <xf numFmtId="176" fontId="35" fillId="0" borderId="61" xfId="6" applyNumberFormat="1" applyFont="1" applyFill="1" applyBorder="1" applyAlignment="1">
      <alignment horizontal="right"/>
    </xf>
    <xf numFmtId="0" fontId="83" fillId="0" borderId="0" xfId="6" applyFont="1" applyFill="1" applyBorder="1"/>
    <xf numFmtId="179" fontId="12" fillId="2" borderId="24" xfId="6" applyNumberFormat="1" applyFont="1" applyFill="1" applyBorder="1" applyAlignment="1">
      <alignment horizontal="right"/>
    </xf>
    <xf numFmtId="179" fontId="12" fillId="2" borderId="0" xfId="6" applyNumberFormat="1" applyFont="1" applyFill="1" applyBorder="1" applyAlignment="1">
      <alignment horizontal="right"/>
    </xf>
    <xf numFmtId="179" fontId="35" fillId="0" borderId="62" xfId="6" applyNumberFormat="1" applyFont="1" applyFill="1" applyBorder="1" applyAlignment="1"/>
    <xf numFmtId="179" fontId="35" fillId="0" borderId="62" xfId="6" applyNumberFormat="1" applyFont="1" applyFill="1" applyBorder="1" applyAlignment="1">
      <alignment horizontal="right"/>
    </xf>
    <xf numFmtId="179" fontId="43" fillId="2" borderId="24" xfId="6" applyNumberFormat="1" applyFont="1" applyFill="1" applyBorder="1" applyAlignment="1">
      <alignment horizontal="right"/>
    </xf>
    <xf numFmtId="179" fontId="12" fillId="2" borderId="57" xfId="6" applyNumberFormat="1" applyFont="1" applyFill="1" applyBorder="1" applyAlignment="1">
      <alignment horizontal="right"/>
    </xf>
    <xf numFmtId="179" fontId="12" fillId="2" borderId="2" xfId="6" applyNumberFormat="1" applyFont="1" applyFill="1" applyBorder="1" applyAlignment="1">
      <alignment horizontal="right"/>
    </xf>
    <xf numFmtId="179" fontId="35" fillId="0" borderId="63" xfId="6" applyNumberFormat="1" applyFont="1" applyFill="1" applyBorder="1" applyAlignment="1">
      <alignment horizontal="right"/>
    </xf>
    <xf numFmtId="176" fontId="36" fillId="0" borderId="0" xfId="5" applyNumberFormat="1" applyFont="1"/>
    <xf numFmtId="183" fontId="12" fillId="2" borderId="55" xfId="6" applyNumberFormat="1" applyFont="1" applyFill="1" applyBorder="1" applyAlignment="1">
      <alignment horizontal="right"/>
    </xf>
    <xf numFmtId="183" fontId="12" fillId="2" borderId="11" xfId="6" applyNumberFormat="1" applyFont="1" applyFill="1" applyBorder="1" applyAlignment="1">
      <alignment horizontal="right"/>
    </xf>
    <xf numFmtId="183" fontId="35" fillId="0" borderId="61" xfId="6" applyNumberFormat="1" applyFont="1" applyFill="1" applyBorder="1" applyAlignment="1">
      <alignment horizontal="right"/>
    </xf>
    <xf numFmtId="183" fontId="12" fillId="2" borderId="24" xfId="6" applyNumberFormat="1" applyFont="1" applyFill="1" applyBorder="1" applyAlignment="1">
      <alignment horizontal="right"/>
    </xf>
    <xf numFmtId="183" fontId="12" fillId="2" borderId="0" xfId="6" applyNumberFormat="1" applyFont="1" applyFill="1" applyBorder="1" applyAlignment="1">
      <alignment horizontal="right"/>
    </xf>
    <xf numFmtId="183" fontId="12" fillId="2" borderId="1" xfId="6" applyNumberFormat="1" applyFont="1" applyFill="1" applyBorder="1" applyAlignment="1">
      <alignment horizontal="right"/>
    </xf>
    <xf numFmtId="183" fontId="35" fillId="0" borderId="62" xfId="6" applyNumberFormat="1" applyFont="1" applyFill="1" applyBorder="1" applyAlignment="1">
      <alignment horizontal="right"/>
    </xf>
    <xf numFmtId="183" fontId="35" fillId="2" borderId="24" xfId="5" applyNumberFormat="1" applyFont="1" applyFill="1" applyBorder="1" applyAlignment="1">
      <alignment horizontal="right"/>
    </xf>
    <xf numFmtId="183" fontId="35" fillId="2" borderId="0" xfId="5" applyNumberFormat="1" applyFont="1" applyFill="1" applyBorder="1" applyAlignment="1">
      <alignment horizontal="right"/>
    </xf>
    <xf numFmtId="183" fontId="35" fillId="2" borderId="57" xfId="5" applyNumberFormat="1" applyFont="1" applyFill="1" applyBorder="1" applyAlignment="1">
      <alignment horizontal="right"/>
    </xf>
    <xf numFmtId="183" fontId="35" fillId="2" borderId="2" xfId="5" applyNumberFormat="1" applyFont="1" applyFill="1" applyBorder="1" applyAlignment="1">
      <alignment horizontal="right"/>
    </xf>
    <xf numFmtId="183" fontId="35" fillId="0" borderId="63" xfId="6" applyNumberFormat="1" applyFont="1" applyFill="1" applyBorder="1" applyAlignment="1">
      <alignment horizontal="right"/>
    </xf>
    <xf numFmtId="0" fontId="38" fillId="0" borderId="0" xfId="6" applyFont="1" applyFill="1" applyBorder="1" applyAlignment="1">
      <alignment horizontal="left" vertical="center"/>
    </xf>
    <xf numFmtId="38" fontId="35" fillId="0" borderId="0" xfId="5" applyNumberFormat="1" applyFont="1" applyFill="1" applyBorder="1" applyAlignment="1">
      <alignment horizontal="right"/>
    </xf>
    <xf numFmtId="38" fontId="35" fillId="0" borderId="0" xfId="6" applyNumberFormat="1" applyFont="1" applyFill="1" applyBorder="1" applyAlignment="1">
      <alignment horizontal="right" vertical="center"/>
    </xf>
    <xf numFmtId="0" fontId="38" fillId="0" borderId="0" xfId="5" applyFont="1"/>
    <xf numFmtId="0" fontId="36" fillId="0" borderId="0" xfId="6" applyFont="1" applyFill="1" applyBorder="1"/>
    <xf numFmtId="176" fontId="12" fillId="2" borderId="64" xfId="6" applyNumberFormat="1" applyFont="1" applyFill="1" applyBorder="1" applyAlignment="1">
      <alignment horizontal="right"/>
    </xf>
    <xf numFmtId="176" fontId="12" fillId="2" borderId="42" xfId="6" applyNumberFormat="1" applyFont="1" applyFill="1" applyBorder="1" applyAlignment="1">
      <alignment horizontal="right"/>
    </xf>
    <xf numFmtId="176" fontId="35" fillId="0" borderId="65" xfId="6" applyNumberFormat="1" applyFont="1" applyFill="1" applyBorder="1" applyAlignment="1"/>
    <xf numFmtId="176" fontId="35" fillId="0" borderId="65" xfId="6" applyNumberFormat="1" applyFont="1" applyFill="1" applyBorder="1" applyAlignment="1">
      <alignment horizontal="right"/>
    </xf>
    <xf numFmtId="0" fontId="36" fillId="0" borderId="0" xfId="12" applyFont="1" applyFill="1"/>
    <xf numFmtId="179" fontId="45" fillId="0" borderId="24" xfId="6" applyNumberFormat="1" applyFont="1" applyFill="1" applyBorder="1" applyAlignment="1"/>
    <xf numFmtId="179" fontId="45" fillId="0" borderId="0" xfId="6" applyNumberFormat="1" applyFont="1" applyFill="1" applyBorder="1" applyAlignment="1"/>
    <xf numFmtId="179" fontId="45" fillId="0" borderId="1" xfId="6" applyNumberFormat="1" applyFont="1" applyFill="1" applyBorder="1" applyAlignment="1"/>
    <xf numFmtId="179" fontId="35" fillId="0" borderId="1" xfId="6" applyNumberFormat="1" applyFont="1" applyFill="1" applyBorder="1" applyAlignment="1">
      <alignment horizontal="right"/>
    </xf>
    <xf numFmtId="0" fontId="36" fillId="0" borderId="0" xfId="12" applyFont="1" applyFill="1" applyBorder="1"/>
    <xf numFmtId="0" fontId="89" fillId="0" borderId="0" xfId="6" applyFont="1" applyFill="1" applyBorder="1"/>
    <xf numFmtId="179" fontId="45" fillId="0" borderId="64" xfId="6" applyNumberFormat="1" applyFont="1" applyFill="1" applyBorder="1" applyAlignment="1"/>
    <xf numFmtId="179" fontId="45" fillId="0" borderId="42" xfId="6" applyNumberFormat="1" applyFont="1" applyFill="1" applyBorder="1" applyAlignment="1"/>
    <xf numFmtId="179" fontId="45" fillId="0" borderId="58" xfId="6" applyNumberFormat="1" applyFont="1" applyFill="1" applyBorder="1" applyAlignment="1"/>
    <xf numFmtId="179" fontId="35" fillId="0" borderId="58" xfId="6" applyNumberFormat="1" applyFont="1" applyFill="1" applyBorder="1" applyAlignment="1">
      <alignment horizontal="right"/>
    </xf>
    <xf numFmtId="176" fontId="35" fillId="2" borderId="24" xfId="6" applyNumberFormat="1" applyFont="1" applyFill="1" applyBorder="1" applyAlignment="1">
      <alignment horizontal="right"/>
    </xf>
    <xf numFmtId="176" fontId="12" fillId="2" borderId="0" xfId="6" applyNumberFormat="1" applyFont="1" applyFill="1" applyBorder="1" applyAlignment="1">
      <alignment horizontal="right"/>
    </xf>
    <xf numFmtId="176" fontId="12" fillId="2" borderId="1" xfId="6" applyNumberFormat="1" applyFont="1" applyFill="1" applyBorder="1" applyAlignment="1">
      <alignment horizontal="right"/>
    </xf>
    <xf numFmtId="176" fontId="35" fillId="0" borderId="1" xfId="6" applyNumberFormat="1" applyFont="1" applyFill="1" applyBorder="1" applyAlignment="1">
      <alignment horizontal="right"/>
    </xf>
    <xf numFmtId="176" fontId="58" fillId="2" borderId="24" xfId="6" applyNumberFormat="1" applyFont="1" applyFill="1" applyBorder="1" applyAlignment="1">
      <alignment horizontal="right"/>
    </xf>
    <xf numFmtId="176" fontId="58" fillId="2" borderId="0" xfId="6" applyNumberFormat="1" applyFont="1" applyFill="1" applyBorder="1" applyAlignment="1">
      <alignment horizontal="right"/>
    </xf>
    <xf numFmtId="176" fontId="35" fillId="0" borderId="62" xfId="6" applyNumberFormat="1" applyFont="1" applyFill="1" applyBorder="1" applyAlignment="1">
      <alignment horizontal="right"/>
    </xf>
    <xf numFmtId="179" fontId="12" fillId="2" borderId="1" xfId="6" applyNumberFormat="1" applyFont="1" applyFill="1" applyBorder="1" applyAlignment="1">
      <alignment horizontal="right"/>
    </xf>
    <xf numFmtId="176" fontId="12" fillId="2" borderId="58" xfId="6" applyNumberFormat="1" applyFont="1" applyFill="1" applyBorder="1" applyAlignment="1">
      <alignment horizontal="right"/>
    </xf>
    <xf numFmtId="176" fontId="35" fillId="0" borderId="58" xfId="6" applyNumberFormat="1" applyFont="1" applyFill="1" applyBorder="1" applyAlignment="1">
      <alignment horizontal="right"/>
    </xf>
    <xf numFmtId="176" fontId="45" fillId="4" borderId="64" xfId="6" applyNumberFormat="1" applyFont="1" applyFill="1" applyBorder="1" applyAlignment="1">
      <alignment horizontal="right"/>
    </xf>
    <xf numFmtId="176" fontId="45" fillId="4" borderId="42" xfId="6" applyNumberFormat="1" applyFont="1" applyFill="1" applyBorder="1" applyAlignment="1">
      <alignment horizontal="right"/>
    </xf>
    <xf numFmtId="176" fontId="58" fillId="2" borderId="4" xfId="6" applyNumberFormat="1" applyFont="1" applyFill="1" applyBorder="1" applyAlignment="1">
      <alignment horizontal="right"/>
    </xf>
    <xf numFmtId="176" fontId="36" fillId="4" borderId="58" xfId="6" applyNumberFormat="1" applyFont="1" applyFill="1" applyBorder="1" applyAlignment="1">
      <alignment horizontal="right"/>
    </xf>
    <xf numFmtId="183" fontId="35" fillId="2" borderId="64" xfId="5" applyNumberFormat="1" applyFont="1" applyFill="1" applyBorder="1" applyAlignment="1">
      <alignment horizontal="right"/>
    </xf>
    <xf numFmtId="183" fontId="35" fillId="2" borderId="42" xfId="5" applyNumberFormat="1" applyFont="1" applyFill="1" applyBorder="1" applyAlignment="1">
      <alignment horizontal="right"/>
    </xf>
    <xf numFmtId="183" fontId="35" fillId="2" borderId="58" xfId="5" applyNumberFormat="1" applyFont="1" applyFill="1" applyBorder="1" applyAlignment="1">
      <alignment horizontal="right"/>
    </xf>
    <xf numFmtId="183" fontId="35" fillId="0" borderId="58" xfId="6" applyNumberFormat="1" applyFont="1" applyFill="1" applyBorder="1" applyAlignment="1">
      <alignment horizontal="right"/>
    </xf>
    <xf numFmtId="0" fontId="45" fillId="0" borderId="0" xfId="6" applyFont="1" applyFill="1" applyBorder="1" applyAlignment="1">
      <alignment horizontal="centerContinuous" wrapText="1"/>
    </xf>
    <xf numFmtId="179" fontId="35" fillId="2" borderId="57" xfId="5" applyNumberFormat="1" applyFont="1" applyFill="1" applyBorder="1" applyAlignment="1">
      <alignment horizontal="right" vertical="center"/>
    </xf>
    <xf numFmtId="179" fontId="35" fillId="2" borderId="2" xfId="5" applyNumberFormat="1" applyFont="1" applyFill="1" applyBorder="1" applyAlignment="1">
      <alignment horizontal="right" vertical="center"/>
    </xf>
    <xf numFmtId="179" fontId="35" fillId="2" borderId="3" xfId="5" applyNumberFormat="1" applyFont="1" applyFill="1" applyBorder="1" applyAlignment="1">
      <alignment horizontal="right" vertical="center"/>
    </xf>
    <xf numFmtId="179" fontId="35" fillId="0" borderId="3" xfId="6" applyNumberFormat="1" applyFont="1" applyFill="1" applyBorder="1" applyAlignment="1">
      <alignment horizontal="right" vertical="center"/>
    </xf>
    <xf numFmtId="16" fontId="45" fillId="0" borderId="0" xfId="6" applyNumberFormat="1" applyFont="1" applyFill="1" applyBorder="1" applyAlignment="1">
      <alignment horizontal="right"/>
    </xf>
    <xf numFmtId="20" fontId="87" fillId="0" borderId="0" xfId="6" applyNumberFormat="1" applyFont="1" applyFill="1" applyBorder="1"/>
    <xf numFmtId="0" fontId="12" fillId="0" borderId="0" xfId="6" applyFont="1" applyFill="1" applyBorder="1" applyAlignment="1">
      <alignment horizontal="center" vertical="center"/>
    </xf>
    <xf numFmtId="0" fontId="90" fillId="0" borderId="0" xfId="6" applyFont="1" applyFill="1" applyBorder="1" applyAlignment="1">
      <alignment vertical="center"/>
    </xf>
    <xf numFmtId="0" fontId="45" fillId="0" borderId="0" xfId="6" applyFont="1" applyFill="1" applyBorder="1" applyAlignment="1">
      <alignment horizontal="centerContinuous" vertical="center" wrapText="1"/>
    </xf>
    <xf numFmtId="0" fontId="35" fillId="0" borderId="0" xfId="6" applyFont="1" applyFill="1" applyBorder="1" applyAlignment="1">
      <alignment vertical="center"/>
    </xf>
    <xf numFmtId="0" fontId="12" fillId="0" borderId="0" xfId="6" applyFont="1" applyFill="1" applyBorder="1" applyAlignment="1">
      <alignment vertical="center"/>
    </xf>
    <xf numFmtId="37" fontId="39" fillId="0" borderId="1" xfId="6" applyNumberFormat="1" applyFont="1" applyFill="1" applyBorder="1" applyAlignment="1">
      <alignment vertical="center"/>
    </xf>
    <xf numFmtId="37" fontId="39" fillId="0" borderId="0" xfId="6" applyNumberFormat="1" applyFont="1" applyFill="1" applyBorder="1" applyAlignment="1">
      <alignment horizontal="centerContinuous" wrapText="1"/>
    </xf>
    <xf numFmtId="37" fontId="39" fillId="0" borderId="0" xfId="6" applyNumberFormat="1" applyFont="1" applyFill="1" applyBorder="1" applyAlignment="1">
      <alignment horizontal="center"/>
    </xf>
    <xf numFmtId="0" fontId="12" fillId="0" borderId="2" xfId="6" applyFont="1" applyFill="1" applyBorder="1" applyAlignment="1">
      <alignment vertical="center"/>
    </xf>
    <xf numFmtId="37" fontId="45" fillId="0" borderId="2" xfId="6" applyNumberFormat="1" applyFont="1" applyFill="1" applyBorder="1" applyAlignment="1">
      <alignment vertical="center"/>
    </xf>
    <xf numFmtId="37" fontId="45" fillId="0" borderId="3" xfId="6" applyNumberFormat="1" applyFont="1" applyFill="1" applyBorder="1" applyAlignment="1">
      <alignment vertical="center"/>
    </xf>
    <xf numFmtId="37" fontId="45" fillId="0" borderId="0" xfId="6" applyNumberFormat="1" applyFont="1" applyFill="1" applyBorder="1" applyAlignment="1">
      <alignment horizontal="right"/>
    </xf>
    <xf numFmtId="0" fontId="38" fillId="4" borderId="0" xfId="7" applyFont="1" applyFill="1" applyAlignment="1">
      <alignment horizontal="centerContinuous" vertical="top" wrapText="1"/>
    </xf>
    <xf numFmtId="0" fontId="13" fillId="4" borderId="0" xfId="7" applyFont="1" applyFill="1" applyAlignment="1">
      <alignment horizontal="centerContinuous" vertical="top" wrapText="1"/>
    </xf>
    <xf numFmtId="188" fontId="82" fillId="4" borderId="0" xfId="6" applyNumberFormat="1" applyFont="1" applyFill="1" applyBorder="1" applyAlignment="1">
      <alignment horizontal="right"/>
    </xf>
    <xf numFmtId="0" fontId="13" fillId="4" borderId="0" xfId="7" applyFont="1" applyFill="1" applyAlignment="1">
      <alignment horizontal="centerContinuous" wrapText="1"/>
    </xf>
    <xf numFmtId="0" fontId="45" fillId="4" borderId="0" xfId="6" applyFont="1" applyFill="1" applyBorder="1" applyAlignment="1">
      <alignment horizontal="centerContinuous" wrapText="1"/>
    </xf>
    <xf numFmtId="0" fontId="45" fillId="4" borderId="1" xfId="6" applyFont="1" applyFill="1" applyBorder="1" applyAlignment="1">
      <alignment horizontal="centerContinuous" wrapText="1"/>
    </xf>
    <xf numFmtId="0" fontId="13" fillId="4" borderId="61" xfId="7" applyFont="1" applyFill="1" applyBorder="1" applyAlignment="1">
      <alignment horizontal="left"/>
    </xf>
    <xf numFmtId="0" fontId="36" fillId="4" borderId="0" xfId="7" applyFont="1" applyFill="1" applyAlignment="1">
      <alignment horizontal="right"/>
    </xf>
    <xf numFmtId="0" fontId="13" fillId="4" borderId="0" xfId="7" applyFont="1" applyFill="1" applyAlignment="1">
      <alignment horizontal="right"/>
    </xf>
    <xf numFmtId="37" fontId="45" fillId="4" borderId="0" xfId="6" applyNumberFormat="1" applyFont="1" applyFill="1" applyBorder="1" applyAlignment="1">
      <alignment horizontal="right"/>
    </xf>
    <xf numFmtId="176" fontId="45" fillId="4" borderId="0" xfId="6" applyNumberFormat="1" applyFont="1" applyFill="1" applyBorder="1" applyAlignment="1">
      <alignment horizontal="right"/>
    </xf>
    <xf numFmtId="0" fontId="36" fillId="4" borderId="0" xfId="7" applyFont="1" applyFill="1" applyAlignment="1"/>
    <xf numFmtId="0" fontId="13" fillId="4" borderId="0" xfId="7" applyFont="1" applyFill="1" applyAlignment="1"/>
    <xf numFmtId="0" fontId="45" fillId="4" borderId="1" xfId="6" applyFont="1" applyFill="1" applyBorder="1" applyAlignment="1"/>
    <xf numFmtId="0" fontId="13" fillId="4" borderId="63" xfId="7" applyFont="1" applyFill="1" applyBorder="1" applyAlignment="1">
      <alignment horizontal="left"/>
    </xf>
    <xf numFmtId="0" fontId="13" fillId="4" borderId="0" xfId="7" applyFont="1" applyFill="1"/>
    <xf numFmtId="175" fontId="45" fillId="4" borderId="0" xfId="6" applyNumberFormat="1" applyFont="1" applyFill="1" applyBorder="1" applyAlignment="1">
      <alignment horizontal="right"/>
    </xf>
    <xf numFmtId="0" fontId="45" fillId="4" borderId="0" xfId="6" applyFont="1" applyFill="1" applyBorder="1" applyAlignment="1">
      <alignment horizontal="right"/>
    </xf>
    <xf numFmtId="0" fontId="36" fillId="4" borderId="0" xfId="7" applyFont="1" applyFill="1" applyBorder="1" applyAlignment="1">
      <alignment horizontal="right"/>
    </xf>
    <xf numFmtId="0" fontId="13" fillId="4" borderId="0" xfId="7" applyFont="1" applyFill="1" applyBorder="1" applyAlignment="1">
      <alignment horizontal="right"/>
    </xf>
    <xf numFmtId="0" fontId="36" fillId="4" borderId="0" xfId="7" applyFont="1" applyFill="1" applyBorder="1" applyAlignment="1"/>
    <xf numFmtId="38" fontId="45" fillId="4" borderId="0" xfId="6" applyNumberFormat="1" applyFont="1" applyFill="1" applyBorder="1" applyAlignment="1">
      <alignment horizontal="right"/>
    </xf>
    <xf numFmtId="0" fontId="75" fillId="4" borderId="0" xfId="7" applyFont="1" applyFill="1" applyBorder="1" applyAlignment="1">
      <alignment horizontal="right"/>
    </xf>
    <xf numFmtId="0" fontId="2" fillId="4" borderId="0" xfId="7" applyFont="1" applyFill="1" applyBorder="1" applyAlignment="1">
      <alignment horizontal="right"/>
    </xf>
    <xf numFmtId="181" fontId="85" fillId="4" borderId="0" xfId="6" applyNumberFormat="1" applyFont="1" applyFill="1" applyBorder="1" applyAlignment="1">
      <alignment horizontal="right"/>
    </xf>
    <xf numFmtId="37" fontId="91" fillId="4" borderId="0" xfId="6" applyNumberFormat="1" applyFont="1" applyFill="1" applyBorder="1" applyAlignment="1"/>
    <xf numFmtId="0" fontId="75" fillId="4" borderId="0" xfId="7" applyFont="1" applyFill="1" applyBorder="1" applyAlignment="1"/>
    <xf numFmtId="0" fontId="36" fillId="4" borderId="0" xfId="7" applyFont="1" applyFill="1" applyBorder="1" applyAlignment="1">
      <alignment horizontal="left"/>
    </xf>
    <xf numFmtId="0" fontId="45" fillId="4" borderId="2" xfId="6" applyFont="1" applyFill="1" applyBorder="1" applyAlignment="1"/>
    <xf numFmtId="0" fontId="36" fillId="4" borderId="2" xfId="7" applyFont="1" applyFill="1" applyBorder="1" applyAlignment="1">
      <alignment horizontal="right"/>
    </xf>
    <xf numFmtId="0" fontId="13" fillId="4" borderId="2" xfId="7" applyFont="1" applyFill="1" applyBorder="1" applyAlignment="1">
      <alignment horizontal="right"/>
    </xf>
    <xf numFmtId="175" fontId="45" fillId="4" borderId="2" xfId="6" applyNumberFormat="1" applyFont="1" applyFill="1" applyBorder="1" applyAlignment="1">
      <alignment horizontal="right"/>
    </xf>
    <xf numFmtId="0" fontId="36" fillId="4" borderId="2" xfId="7" applyFont="1" applyFill="1" applyBorder="1" applyAlignment="1">
      <alignment horizontal="left"/>
    </xf>
    <xf numFmtId="0" fontId="36" fillId="4" borderId="2" xfId="7" applyFont="1" applyFill="1" applyBorder="1" applyAlignment="1"/>
    <xf numFmtId="0" fontId="45" fillId="4" borderId="3" xfId="6" applyFont="1" applyFill="1" applyBorder="1" applyAlignment="1"/>
    <xf numFmtId="0" fontId="48" fillId="0" borderId="0" xfId="7" applyFont="1" applyAlignment="1"/>
    <xf numFmtId="0" fontId="48" fillId="0" borderId="0" xfId="6" applyFont="1" applyAlignment="1"/>
    <xf numFmtId="0" fontId="74" fillId="0" borderId="0" xfId="6" applyFont="1" applyFill="1" applyBorder="1" applyAlignment="1"/>
    <xf numFmtId="37" fontId="74" fillId="0" borderId="0" xfId="6" applyNumberFormat="1" applyFont="1" applyFill="1" applyBorder="1" applyAlignment="1">
      <alignment horizontal="right"/>
    </xf>
    <xf numFmtId="15" fontId="74" fillId="0" borderId="0" xfId="6" applyNumberFormat="1" applyFont="1" applyFill="1" applyBorder="1" applyAlignment="1">
      <alignment horizontal="left"/>
    </xf>
    <xf numFmtId="15" fontId="74" fillId="0" borderId="0" xfId="6" applyNumberFormat="1" applyFont="1" applyFill="1" applyBorder="1" applyAlignment="1">
      <alignment horizontal="centerContinuous"/>
    </xf>
    <xf numFmtId="0" fontId="74" fillId="0" borderId="0" xfId="6" applyFont="1" applyFill="1" applyBorder="1" applyAlignment="1">
      <alignment horizontal="right"/>
    </xf>
    <xf numFmtId="0" fontId="92" fillId="0" borderId="0" xfId="6" applyFont="1" applyFill="1" applyBorder="1" applyAlignment="1"/>
    <xf numFmtId="0" fontId="93" fillId="0" borderId="0" xfId="6" applyFont="1" applyFill="1" applyBorder="1" applyAlignment="1"/>
    <xf numFmtId="37" fontId="93" fillId="0" borderId="0" xfId="6" applyNumberFormat="1" applyFont="1" applyFill="1" applyBorder="1" applyAlignment="1"/>
    <xf numFmtId="0" fontId="74" fillId="0" borderId="0" xfId="6" applyFont="1" applyFill="1" applyBorder="1" applyAlignment="1">
      <alignment wrapText="1"/>
    </xf>
    <xf numFmtId="0" fontId="94" fillId="0" borderId="0" xfId="6" applyFont="1" applyFill="1" applyBorder="1" applyAlignment="1">
      <alignment horizontal="right"/>
    </xf>
    <xf numFmtId="0" fontId="35" fillId="0" borderId="0" xfId="6" applyFont="1" applyFill="1" applyAlignment="1"/>
    <xf numFmtId="0" fontId="48" fillId="0" borderId="0" xfId="6" applyFont="1" applyFill="1" applyAlignment="1"/>
    <xf numFmtId="0" fontId="74" fillId="4" borderId="55" xfId="6" applyFont="1" applyFill="1" applyBorder="1" applyAlignment="1">
      <alignment horizontal="centerContinuous"/>
    </xf>
    <xf numFmtId="0" fontId="74" fillId="4" borderId="56" xfId="6" applyFont="1" applyFill="1" applyBorder="1" applyAlignment="1">
      <alignment horizontal="centerContinuous"/>
    </xf>
    <xf numFmtId="0" fontId="43" fillId="0" borderId="0" xfId="6" applyFont="1" applyFill="1" applyBorder="1" applyAlignment="1"/>
    <xf numFmtId="0" fontId="12" fillId="0" borderId="0" xfId="6" applyFont="1" applyFill="1" applyBorder="1" applyAlignment="1"/>
    <xf numFmtId="37" fontId="45" fillId="0" borderId="0" xfId="6" applyNumberFormat="1" applyFont="1" applyFill="1" applyBorder="1" applyAlignment="1">
      <alignment horizontal="left"/>
    </xf>
    <xf numFmtId="0" fontId="52" fillId="4" borderId="22" xfId="7" applyFont="1" applyFill="1" applyBorder="1"/>
    <xf numFmtId="0" fontId="52" fillId="4" borderId="23" xfId="7" applyFont="1" applyFill="1" applyBorder="1" applyAlignment="1">
      <alignment vertical="top" wrapText="1"/>
    </xf>
    <xf numFmtId="0" fontId="38" fillId="0" borderId="0" xfId="7" applyFont="1"/>
    <xf numFmtId="0" fontId="5" fillId="0" borderId="0" xfId="7"/>
    <xf numFmtId="37" fontId="38" fillId="0" borderId="0" xfId="6" applyNumberFormat="1" applyFont="1" applyFill="1" applyBorder="1" applyAlignment="1">
      <alignment horizontal="right"/>
    </xf>
    <xf numFmtId="0" fontId="38" fillId="0" borderId="2" xfId="6" applyFont="1" applyFill="1" applyBorder="1" applyAlignment="1"/>
    <xf numFmtId="0" fontId="45" fillId="0" borderId="2" xfId="6" applyFont="1" applyFill="1" applyBorder="1" applyAlignment="1"/>
    <xf numFmtId="0" fontId="67" fillId="0" borderId="2" xfId="6" applyFont="1" applyFill="1" applyBorder="1" applyAlignment="1"/>
    <xf numFmtId="37" fontId="38" fillId="0" borderId="2" xfId="6" applyNumberFormat="1" applyFont="1" applyFill="1" applyBorder="1" applyAlignment="1"/>
    <xf numFmtId="0" fontId="38" fillId="0" borderId="11" xfId="6" applyFont="1" applyFill="1" applyBorder="1" applyAlignment="1"/>
    <xf numFmtId="0" fontId="76" fillId="0" borderId="11" xfId="6" applyFont="1" applyFill="1" applyBorder="1" applyAlignment="1"/>
    <xf numFmtId="0" fontId="12" fillId="0" borderId="11" xfId="6" applyFont="1" applyFill="1" applyBorder="1" applyAlignment="1">
      <alignment horizontal="center"/>
    </xf>
    <xf numFmtId="16" fontId="67" fillId="0" borderId="0" xfId="6" applyNumberFormat="1" applyFont="1" applyFill="1" applyBorder="1" applyAlignment="1"/>
    <xf numFmtId="0" fontId="67" fillId="0" borderId="11" xfId="6" applyFont="1" applyFill="1" applyBorder="1" applyAlignment="1">
      <alignment horizontal="right"/>
    </xf>
    <xf numFmtId="0" fontId="12" fillId="0" borderId="11" xfId="6" applyFont="1" applyFill="1" applyBorder="1" applyAlignment="1"/>
    <xf numFmtId="0" fontId="36" fillId="0" borderId="0" xfId="7" applyFont="1" applyAlignment="1"/>
    <xf numFmtId="0" fontId="95" fillId="2" borderId="25" xfId="6" applyFont="1" applyFill="1" applyBorder="1" applyAlignment="1">
      <alignment horizontal="center"/>
    </xf>
    <xf numFmtId="0" fontId="96" fillId="0" borderId="0" xfId="7" applyFont="1" applyAlignment="1"/>
    <xf numFmtId="0" fontId="64" fillId="0" borderId="0" xfId="6" applyFont="1" applyFill="1" applyBorder="1" applyAlignment="1"/>
    <xf numFmtId="37" fontId="97" fillId="0" borderId="0" xfId="6" applyNumberFormat="1" applyFont="1" applyFill="1" applyBorder="1" applyAlignment="1">
      <alignment horizontal="centerContinuous"/>
    </xf>
    <xf numFmtId="0" fontId="79" fillId="0" borderId="0" xfId="6" applyFont="1" applyFill="1" applyBorder="1" applyAlignment="1">
      <alignment horizontal="centerContinuous"/>
    </xf>
    <xf numFmtId="0" fontId="97" fillId="0" borderId="0" xfId="6" applyFont="1" applyFill="1" applyBorder="1" applyAlignment="1">
      <alignment horizontal="centerContinuous"/>
    </xf>
    <xf numFmtId="0" fontId="63" fillId="0" borderId="0" xfId="7" applyFont="1" applyAlignment="1"/>
    <xf numFmtId="0" fontId="98" fillId="0" borderId="0" xfId="6" applyFont="1" applyFill="1" applyBorder="1" applyAlignment="1"/>
    <xf numFmtId="0" fontId="82" fillId="0" borderId="0" xfId="6" applyFont="1" applyFill="1" applyBorder="1" applyAlignment="1"/>
    <xf numFmtId="188" fontId="99" fillId="0" borderId="0" xfId="6" applyNumberFormat="1" applyFont="1" applyFill="1" applyBorder="1" applyAlignment="1">
      <alignment horizontal="right"/>
    </xf>
    <xf numFmtId="188" fontId="100" fillId="0" borderId="0" xfId="6" applyNumberFormat="1" applyFont="1" applyFill="1" applyBorder="1" applyAlignment="1">
      <alignment horizontal="right"/>
    </xf>
    <xf numFmtId="183" fontId="43" fillId="0" borderId="0" xfId="6" applyNumberFormat="1" applyFont="1" applyFill="1" applyBorder="1" applyAlignment="1">
      <alignment horizontal="center"/>
    </xf>
    <xf numFmtId="0" fontId="45" fillId="4" borderId="55" xfId="6" applyFont="1" applyFill="1" applyBorder="1" applyAlignment="1">
      <alignment horizontal="centerContinuous"/>
    </xf>
    <xf numFmtId="0" fontId="45" fillId="4" borderId="11" xfId="6" applyFont="1" applyFill="1" applyBorder="1" applyAlignment="1">
      <alignment horizontal="centerContinuous"/>
    </xf>
    <xf numFmtId="0" fontId="45" fillId="4" borderId="56" xfId="6" applyFont="1" applyFill="1" applyBorder="1" applyAlignment="1">
      <alignment horizontal="centerContinuous"/>
    </xf>
    <xf numFmtId="0" fontId="89" fillId="0" borderId="0" xfId="7" applyFont="1" applyAlignment="1"/>
    <xf numFmtId="0" fontId="76" fillId="0" borderId="0" xfId="6" applyFont="1" applyFill="1" applyBorder="1" applyAlignment="1"/>
    <xf numFmtId="189" fontId="89" fillId="0" borderId="0" xfId="6" applyNumberFormat="1" applyFont="1" applyFill="1" applyBorder="1" applyAlignment="1">
      <alignment horizontal="center"/>
    </xf>
    <xf numFmtId="0" fontId="45" fillId="4" borderId="57" xfId="6" applyFont="1" applyFill="1" applyBorder="1" applyAlignment="1">
      <alignment horizontal="center"/>
    </xf>
    <xf numFmtId="0" fontId="45" fillId="4" borderId="2" xfId="6" applyFont="1" applyFill="1" applyBorder="1" applyAlignment="1">
      <alignment horizontal="center"/>
    </xf>
    <xf numFmtId="0" fontId="45" fillId="4" borderId="3" xfId="6" applyFont="1" applyFill="1" applyBorder="1" applyAlignment="1">
      <alignment horizontal="center"/>
    </xf>
    <xf numFmtId="179" fontId="12" fillId="2" borderId="55" xfId="6" applyNumberFormat="1" applyFont="1" applyFill="1" applyBorder="1" applyAlignment="1" applyProtection="1">
      <alignment horizontal="right"/>
      <protection locked="0"/>
    </xf>
    <xf numFmtId="179" fontId="12" fillId="2" borderId="11" xfId="6" applyNumberFormat="1" applyFont="1" applyFill="1" applyBorder="1" applyAlignment="1" applyProtection="1">
      <alignment horizontal="right"/>
      <protection locked="0"/>
    </xf>
    <xf numFmtId="179" fontId="12" fillId="2" borderId="56" xfId="6" applyNumberFormat="1" applyFont="1" applyFill="1" applyBorder="1" applyAlignment="1" applyProtection="1">
      <alignment horizontal="right"/>
      <protection locked="0"/>
    </xf>
    <xf numFmtId="179" fontId="12" fillId="0" borderId="0" xfId="6" applyNumberFormat="1" applyFont="1" applyFill="1" applyBorder="1" applyAlignment="1">
      <alignment horizontal="right"/>
    </xf>
    <xf numFmtId="179" fontId="12" fillId="0" borderId="0" xfId="6" applyNumberFormat="1" applyFont="1" applyFill="1" applyBorder="1" applyAlignment="1" applyProtection="1">
      <alignment horizontal="right"/>
      <protection locked="0"/>
    </xf>
    <xf numFmtId="0" fontId="45" fillId="0" borderId="0" xfId="6" quotePrefix="1" applyFont="1" applyFill="1" applyBorder="1" applyAlignment="1"/>
    <xf numFmtId="0" fontId="45" fillId="0" borderId="0" xfId="6" quotePrefix="1" applyFont="1" applyFill="1" applyBorder="1" applyAlignment="1">
      <alignment horizontal="left"/>
    </xf>
    <xf numFmtId="179" fontId="101" fillId="2" borderId="24" xfId="6" applyNumberFormat="1" applyFont="1" applyFill="1" applyBorder="1" applyAlignment="1" applyProtection="1">
      <alignment horizontal="right"/>
      <protection locked="0"/>
    </xf>
    <xf numFmtId="179" fontId="101" fillId="2" borderId="0" xfId="6" applyNumberFormat="1" applyFont="1" applyFill="1" applyBorder="1" applyAlignment="1" applyProtection="1">
      <alignment horizontal="right"/>
      <protection locked="0"/>
    </xf>
    <xf numFmtId="179" fontId="101" fillId="2" borderId="1" xfId="6" applyNumberFormat="1" applyFont="1" applyFill="1" applyBorder="1" applyAlignment="1" applyProtection="1">
      <alignment horizontal="right"/>
      <protection locked="0"/>
    </xf>
    <xf numFmtId="179" fontId="45" fillId="0" borderId="0" xfId="6" applyNumberFormat="1" applyFont="1" applyFill="1" applyBorder="1" applyAlignment="1">
      <alignment horizontal="right"/>
    </xf>
    <xf numFmtId="0" fontId="45" fillId="0" borderId="0" xfId="6" applyFont="1" applyFill="1" applyBorder="1" applyAlignment="1">
      <alignment horizontal="left"/>
    </xf>
    <xf numFmtId="179" fontId="45" fillId="2" borderId="24" xfId="6" quotePrefix="1" applyNumberFormat="1" applyFont="1" applyFill="1" applyBorder="1" applyAlignment="1" applyProtection="1">
      <alignment horizontal="right"/>
      <protection locked="0"/>
    </xf>
    <xf numFmtId="179" fontId="45" fillId="2" borderId="0" xfId="6" quotePrefix="1" applyNumberFormat="1" applyFont="1" applyFill="1" applyBorder="1" applyAlignment="1" applyProtection="1">
      <alignment horizontal="right"/>
      <protection locked="0"/>
    </xf>
    <xf numFmtId="179" fontId="45" fillId="2" borderId="1" xfId="6" quotePrefix="1" applyNumberFormat="1" applyFont="1" applyFill="1" applyBorder="1" applyAlignment="1" applyProtection="1">
      <alignment horizontal="right"/>
      <protection locked="0"/>
    </xf>
    <xf numFmtId="179" fontId="45" fillId="0" borderId="0" xfId="6" quotePrefix="1" applyNumberFormat="1" applyFont="1" applyFill="1" applyBorder="1" applyAlignment="1" applyProtection="1">
      <alignment horizontal="right"/>
      <protection locked="0"/>
    </xf>
    <xf numFmtId="0" fontId="87" fillId="0" borderId="0" xfId="6" applyFont="1" applyFill="1" applyBorder="1" applyAlignment="1"/>
    <xf numFmtId="0" fontId="87" fillId="0" borderId="0" xfId="6" applyFont="1" applyFill="1" applyBorder="1" applyAlignment="1">
      <alignment horizontal="left"/>
    </xf>
    <xf numFmtId="179" fontId="102" fillId="2" borderId="24" xfId="6" quotePrefix="1" applyNumberFormat="1" applyFont="1" applyFill="1" applyBorder="1" applyAlignment="1" applyProtection="1">
      <alignment horizontal="right"/>
      <protection locked="0"/>
    </xf>
    <xf numFmtId="179" fontId="102" fillId="2" borderId="0" xfId="6" quotePrefix="1" applyNumberFormat="1" applyFont="1" applyFill="1" applyBorder="1" applyAlignment="1" applyProtection="1">
      <alignment horizontal="right"/>
      <protection locked="0"/>
    </xf>
    <xf numFmtId="179" fontId="102" fillId="2" borderId="1" xfId="6" quotePrefix="1" applyNumberFormat="1" applyFont="1" applyFill="1" applyBorder="1" applyAlignment="1" applyProtection="1">
      <alignment horizontal="right"/>
      <protection locked="0"/>
    </xf>
    <xf numFmtId="179" fontId="87" fillId="6" borderId="0" xfId="6" applyNumberFormat="1" applyFont="1" applyFill="1" applyBorder="1" applyAlignment="1" applyProtection="1">
      <alignment horizontal="right"/>
      <protection locked="0"/>
    </xf>
    <xf numFmtId="179" fontId="13" fillId="6" borderId="0" xfId="7" applyNumberFormat="1" applyFont="1" applyFill="1"/>
    <xf numFmtId="179" fontId="87" fillId="6" borderId="0" xfId="6" quotePrefix="1" applyNumberFormat="1" applyFont="1" applyFill="1" applyBorder="1" applyAlignment="1" applyProtection="1">
      <alignment horizontal="right"/>
      <protection locked="0"/>
    </xf>
    <xf numFmtId="179" fontId="45" fillId="2" borderId="24" xfId="6" quotePrefix="1" applyNumberFormat="1" applyFont="1" applyFill="1" applyBorder="1" applyAlignment="1" applyProtection="1">
      <protection locked="0"/>
    </xf>
    <xf numFmtId="179" fontId="45" fillId="2" borderId="0" xfId="6" quotePrefix="1" applyNumberFormat="1" applyFont="1" applyFill="1" applyBorder="1" applyAlignment="1" applyProtection="1">
      <protection locked="0"/>
    </xf>
    <xf numFmtId="179" fontId="45" fillId="2" borderId="1" xfId="6" quotePrefix="1" applyNumberFormat="1" applyFont="1" applyFill="1" applyBorder="1" applyAlignment="1" applyProtection="1">
      <protection locked="0"/>
    </xf>
    <xf numFmtId="179" fontId="45" fillId="0" borderId="0" xfId="6" applyNumberFormat="1" applyFont="1" applyFill="1" applyBorder="1" applyAlignment="1" applyProtection="1">
      <protection locked="0"/>
    </xf>
    <xf numFmtId="179" fontId="36" fillId="0" borderId="0" xfId="7" applyNumberFormat="1" applyFont="1" applyFill="1" applyAlignment="1"/>
    <xf numFmtId="179" fontId="45" fillId="0" borderId="0" xfId="6" quotePrefix="1" applyNumberFormat="1" applyFont="1" applyFill="1" applyBorder="1" applyAlignment="1" applyProtection="1">
      <protection locked="0"/>
    </xf>
    <xf numFmtId="179" fontId="101" fillId="2" borderId="24" xfId="6" quotePrefix="1" applyNumberFormat="1" applyFont="1" applyFill="1" applyBorder="1" applyAlignment="1" applyProtection="1">
      <alignment horizontal="right"/>
      <protection locked="0"/>
    </xf>
    <xf numFmtId="179" fontId="101" fillId="2" borderId="0" xfId="6" quotePrefix="1" applyNumberFormat="1" applyFont="1" applyFill="1" applyBorder="1" applyAlignment="1" applyProtection="1">
      <alignment horizontal="right"/>
      <protection locked="0"/>
    </xf>
    <xf numFmtId="179" fontId="101" fillId="2" borderId="1" xfId="6" quotePrefix="1" applyNumberFormat="1" applyFont="1" applyFill="1" applyBorder="1" applyAlignment="1" applyProtection="1">
      <alignment horizontal="right"/>
      <protection locked="0"/>
    </xf>
    <xf numFmtId="0" fontId="38" fillId="0" borderId="0" xfId="6" applyFont="1" applyFill="1" applyBorder="1" applyAlignment="1">
      <alignment horizontal="right"/>
    </xf>
    <xf numFmtId="0" fontId="45" fillId="0" borderId="0" xfId="6" applyFont="1" applyFill="1" applyBorder="1" applyAlignment="1">
      <alignment horizontal="right"/>
    </xf>
    <xf numFmtId="179" fontId="38" fillId="2" borderId="1" xfId="6" quotePrefix="1" applyNumberFormat="1" applyFont="1" applyFill="1" applyBorder="1" applyAlignment="1" applyProtection="1">
      <alignment horizontal="right"/>
      <protection locked="0"/>
    </xf>
    <xf numFmtId="0" fontId="103" fillId="0" borderId="0" xfId="6" applyFont="1" applyFill="1" applyBorder="1" applyAlignment="1"/>
    <xf numFmtId="0" fontId="104" fillId="0" borderId="0" xfId="6" applyFont="1" applyFill="1" applyBorder="1" applyAlignment="1"/>
    <xf numFmtId="0" fontId="86" fillId="0" borderId="0" xfId="6" applyFont="1" applyFill="1" applyBorder="1" applyAlignment="1">
      <alignment horizontal="left"/>
    </xf>
    <xf numFmtId="179" fontId="66" fillId="2" borderId="24" xfId="6" quotePrefix="1" applyNumberFormat="1" applyFont="1" applyFill="1" applyBorder="1" applyAlignment="1" applyProtection="1">
      <alignment horizontal="right"/>
      <protection locked="0"/>
    </xf>
    <xf numFmtId="179" fontId="66" fillId="2" borderId="0" xfId="6" quotePrefix="1" applyNumberFormat="1" applyFont="1" applyFill="1" applyBorder="1" applyAlignment="1" applyProtection="1">
      <alignment horizontal="right"/>
      <protection locked="0"/>
    </xf>
    <xf numFmtId="179" fontId="66" fillId="2" borderId="1" xfId="6" quotePrefix="1" applyNumberFormat="1" applyFont="1" applyFill="1" applyBorder="1" applyAlignment="1" applyProtection="1">
      <alignment horizontal="right"/>
      <protection locked="0"/>
    </xf>
    <xf numFmtId="179" fontId="86" fillId="0" borderId="0" xfId="6" applyNumberFormat="1" applyFont="1" applyFill="1" applyBorder="1" applyAlignment="1">
      <alignment horizontal="right"/>
    </xf>
    <xf numFmtId="0" fontId="86" fillId="0" borderId="0" xfId="6" applyFont="1" applyFill="1" applyBorder="1" applyAlignment="1"/>
    <xf numFmtId="0" fontId="105" fillId="0" borderId="0" xfId="6" applyFont="1" applyFill="1" applyBorder="1" applyAlignment="1"/>
    <xf numFmtId="179" fontId="106" fillId="2" borderId="24" xfId="6" quotePrefix="1" applyNumberFormat="1" applyFont="1" applyFill="1" applyBorder="1" applyAlignment="1" applyProtection="1">
      <alignment horizontal="right"/>
      <protection locked="0"/>
    </xf>
    <xf numFmtId="179" fontId="106" fillId="2" borderId="0" xfId="6" quotePrefix="1" applyNumberFormat="1" applyFont="1" applyFill="1" applyBorder="1" applyAlignment="1" applyProtection="1">
      <alignment horizontal="right"/>
      <protection locked="0"/>
    </xf>
    <xf numFmtId="179" fontId="106" fillId="2" borderId="1" xfId="6" quotePrefix="1" applyNumberFormat="1" applyFont="1" applyFill="1" applyBorder="1" applyAlignment="1" applyProtection="1">
      <alignment horizontal="right"/>
      <protection locked="0"/>
    </xf>
    <xf numFmtId="179" fontId="105" fillId="0" borderId="0" xfId="6" applyNumberFormat="1" applyFont="1" applyFill="1" applyBorder="1" applyAlignment="1">
      <alignment horizontal="right"/>
    </xf>
    <xf numFmtId="179" fontId="107" fillId="2" borderId="24" xfId="6" quotePrefix="1" applyNumberFormat="1" applyFont="1" applyFill="1" applyBorder="1" applyAlignment="1" applyProtection="1">
      <alignment horizontal="right"/>
      <protection locked="0"/>
    </xf>
    <xf numFmtId="179" fontId="107" fillId="2" borderId="0" xfId="6" quotePrefix="1" applyNumberFormat="1" applyFont="1" applyFill="1" applyBorder="1" applyAlignment="1" applyProtection="1">
      <alignment horizontal="right"/>
      <protection locked="0"/>
    </xf>
    <xf numFmtId="179" fontId="107" fillId="2" borderId="1" xfId="6" quotePrefix="1" applyNumberFormat="1" applyFont="1" applyFill="1" applyBorder="1" applyAlignment="1" applyProtection="1">
      <alignment horizontal="right"/>
      <protection locked="0"/>
    </xf>
    <xf numFmtId="0" fontId="22" fillId="0" borderId="0" xfId="7" applyFont="1" applyAlignment="1"/>
    <xf numFmtId="0" fontId="62" fillId="0" borderId="0" xfId="6" applyFont="1" applyFill="1" applyBorder="1" applyAlignment="1"/>
    <xf numFmtId="179" fontId="45" fillId="2" borderId="24" xfId="6" applyNumberFormat="1" applyFont="1" applyFill="1" applyBorder="1" applyAlignment="1" applyProtection="1">
      <alignment horizontal="right"/>
      <protection locked="0"/>
    </xf>
    <xf numFmtId="179" fontId="45" fillId="2" borderId="0" xfId="6" applyNumberFormat="1" applyFont="1" applyFill="1" applyBorder="1" applyAlignment="1" applyProtection="1">
      <alignment horizontal="right"/>
      <protection locked="0"/>
    </xf>
    <xf numFmtId="179" fontId="45" fillId="2" borderId="1" xfId="6" applyNumberFormat="1" applyFont="1" applyFill="1" applyBorder="1" applyAlignment="1" applyProtection="1">
      <alignment horizontal="right"/>
      <protection locked="0"/>
    </xf>
    <xf numFmtId="176" fontId="45" fillId="0" borderId="0" xfId="6" applyNumberFormat="1" applyFont="1" applyFill="1" applyBorder="1" applyAlignment="1">
      <alignment horizontal="right"/>
    </xf>
    <xf numFmtId="176" fontId="12" fillId="0" borderId="0" xfId="6" applyNumberFormat="1" applyFont="1" applyFill="1" applyBorder="1" applyAlignment="1">
      <alignment horizontal="right"/>
    </xf>
    <xf numFmtId="179" fontId="101" fillId="2" borderId="24" xfId="6" applyNumberFormat="1" applyFont="1" applyFill="1" applyBorder="1" applyAlignment="1">
      <alignment horizontal="right"/>
    </xf>
    <xf numFmtId="179" fontId="101" fillId="2" borderId="0" xfId="6" applyNumberFormat="1" applyFont="1" applyFill="1" applyBorder="1" applyAlignment="1">
      <alignment horizontal="right"/>
    </xf>
    <xf numFmtId="179" fontId="101" fillId="2" borderId="1" xfId="6" applyNumberFormat="1" applyFont="1" applyFill="1" applyBorder="1" applyAlignment="1">
      <alignment horizontal="right"/>
    </xf>
    <xf numFmtId="179" fontId="45" fillId="2" borderId="24" xfId="6" applyNumberFormat="1" applyFont="1" applyFill="1" applyBorder="1" applyAlignment="1"/>
    <xf numFmtId="179" fontId="45" fillId="2" borderId="0" xfId="6" applyNumberFormat="1" applyFont="1" applyFill="1" applyBorder="1" applyAlignment="1"/>
    <xf numFmtId="179" fontId="45" fillId="2" borderId="1" xfId="6" applyNumberFormat="1" applyFont="1" applyFill="1" applyBorder="1" applyAlignment="1"/>
    <xf numFmtId="176" fontId="45" fillId="0" borderId="0" xfId="6" applyNumberFormat="1" applyFont="1" applyFill="1" applyBorder="1" applyAlignment="1"/>
    <xf numFmtId="0" fontId="81" fillId="0" borderId="0" xfId="6" applyFont="1" applyFill="1" applyBorder="1" applyAlignment="1"/>
    <xf numFmtId="179" fontId="12" fillId="2" borderId="3" xfId="6" applyNumberFormat="1" applyFont="1" applyFill="1" applyBorder="1" applyAlignment="1">
      <alignment horizontal="right"/>
    </xf>
    <xf numFmtId="0" fontId="45" fillId="0" borderId="0" xfId="6" applyFont="1" applyFill="1" applyBorder="1" applyAlignment="1">
      <alignment horizontal="center"/>
    </xf>
    <xf numFmtId="37" fontId="108" fillId="0" borderId="0" xfId="6" applyNumberFormat="1" applyFont="1" applyFill="1" applyBorder="1" applyAlignment="1">
      <alignment horizontal="centerContinuous"/>
    </xf>
    <xf numFmtId="0" fontId="108" fillId="0" borderId="0" xfId="6" applyFont="1" applyFill="1" applyBorder="1" applyAlignment="1">
      <alignment horizontal="centerContinuous"/>
    </xf>
    <xf numFmtId="1" fontId="82" fillId="0" borderId="0" xfId="6" applyNumberFormat="1" applyFont="1" applyFill="1" applyBorder="1" applyAlignment="1">
      <alignment horizontal="right"/>
    </xf>
    <xf numFmtId="176" fontId="12" fillId="2" borderId="56" xfId="6" applyNumberFormat="1" applyFont="1" applyFill="1" applyBorder="1" applyAlignment="1">
      <alignment horizontal="right"/>
    </xf>
    <xf numFmtId="176" fontId="12" fillId="0" borderId="0" xfId="6" applyNumberFormat="1" applyFont="1" applyFill="1" applyBorder="1" applyAlignment="1" applyProtection="1">
      <alignment horizontal="right"/>
    </xf>
    <xf numFmtId="176" fontId="101" fillId="2" borderId="24" xfId="6" applyNumberFormat="1" applyFont="1" applyFill="1" applyBorder="1" applyAlignment="1">
      <alignment horizontal="right"/>
    </xf>
    <xf numFmtId="176" fontId="101" fillId="2" borderId="0" xfId="6" applyNumberFormat="1" applyFont="1" applyFill="1" applyBorder="1" applyAlignment="1">
      <alignment horizontal="right"/>
    </xf>
    <xf numFmtId="176" fontId="101" fillId="2" borderId="1" xfId="6" applyNumberFormat="1" applyFont="1" applyFill="1" applyBorder="1" applyAlignment="1">
      <alignment horizontal="right"/>
    </xf>
    <xf numFmtId="176" fontId="45" fillId="0" borderId="0" xfId="6" applyNumberFormat="1" applyFont="1" applyFill="1" applyBorder="1" applyAlignment="1" applyProtection="1">
      <alignment horizontal="right"/>
    </xf>
    <xf numFmtId="176" fontId="45" fillId="2" borderId="24" xfId="6" applyNumberFormat="1" applyFont="1" applyFill="1" applyBorder="1" applyAlignment="1">
      <alignment horizontal="right"/>
    </xf>
    <xf numFmtId="176" fontId="45" fillId="2" borderId="0" xfId="6" applyNumberFormat="1" applyFont="1" applyFill="1" applyBorder="1" applyAlignment="1">
      <alignment horizontal="right"/>
    </xf>
    <xf numFmtId="176" fontId="45" fillId="2" borderId="1" xfId="6" applyNumberFormat="1" applyFont="1" applyFill="1" applyBorder="1" applyAlignment="1">
      <alignment horizontal="right"/>
    </xf>
    <xf numFmtId="179" fontId="43" fillId="2" borderId="0" xfId="6" applyNumberFormat="1" applyFont="1" applyFill="1" applyBorder="1" applyAlignment="1">
      <alignment horizontal="right"/>
    </xf>
    <xf numFmtId="179" fontId="43" fillId="2" borderId="1" xfId="6" applyNumberFormat="1" applyFont="1" applyFill="1" applyBorder="1" applyAlignment="1">
      <alignment horizontal="right"/>
    </xf>
    <xf numFmtId="0" fontId="12" fillId="0" borderId="0" xfId="6" applyFont="1" applyFill="1" applyBorder="1" applyAlignment="1">
      <alignment horizontal="left"/>
    </xf>
    <xf numFmtId="176" fontId="45" fillId="2" borderId="24" xfId="6" applyNumberFormat="1" applyFont="1" applyFill="1" applyBorder="1" applyAlignment="1" applyProtection="1">
      <alignment horizontal="right"/>
      <protection locked="0"/>
    </xf>
    <xf numFmtId="176" fontId="45" fillId="2" borderId="0" xfId="6" applyNumberFormat="1" applyFont="1" applyFill="1" applyBorder="1" applyAlignment="1" applyProtection="1">
      <alignment horizontal="right"/>
      <protection locked="0"/>
    </xf>
    <xf numFmtId="176" fontId="45" fillId="2" borderId="1" xfId="6" applyNumberFormat="1" applyFont="1" applyFill="1" applyBorder="1" applyAlignment="1" applyProtection="1">
      <alignment horizontal="right"/>
      <protection locked="0"/>
    </xf>
    <xf numFmtId="0" fontId="67" fillId="0" borderId="0" xfId="6" applyFont="1" applyFill="1" applyBorder="1" applyAlignment="1"/>
    <xf numFmtId="0" fontId="12" fillId="0" borderId="0" xfId="6" applyFont="1" applyFill="1" applyBorder="1" applyAlignment="1">
      <alignment wrapText="1"/>
    </xf>
    <xf numFmtId="179" fontId="39" fillId="2" borderId="24" xfId="6" applyNumberFormat="1" applyFont="1" applyFill="1" applyBorder="1" applyAlignment="1">
      <alignment wrapText="1"/>
    </xf>
    <xf numFmtId="179" fontId="39" fillId="2" borderId="0" xfId="6" applyNumberFormat="1" applyFont="1" applyFill="1" applyBorder="1" applyAlignment="1">
      <alignment wrapText="1"/>
    </xf>
    <xf numFmtId="179" fontId="39" fillId="2" borderId="1" xfId="6" applyNumberFormat="1" applyFont="1" applyFill="1" applyBorder="1" applyAlignment="1">
      <alignment wrapText="1"/>
    </xf>
    <xf numFmtId="179" fontId="12" fillId="0" borderId="0" xfId="6" applyNumberFormat="1" applyFont="1" applyFill="1" applyBorder="1" applyAlignment="1">
      <alignment wrapText="1"/>
    </xf>
    <xf numFmtId="179" fontId="12" fillId="0" borderId="0" xfId="6" applyNumberFormat="1" applyFont="1" applyFill="1" applyBorder="1" applyAlignment="1"/>
    <xf numFmtId="0" fontId="48" fillId="0" borderId="0" xfId="7" applyFont="1"/>
    <xf numFmtId="179" fontId="38" fillId="2" borderId="24" xfId="6" applyNumberFormat="1" applyFont="1" applyFill="1" applyBorder="1" applyAlignment="1">
      <alignment horizontal="center"/>
    </xf>
    <xf numFmtId="179" fontId="38" fillId="2" borderId="0" xfId="6" applyNumberFormat="1" applyFont="1" applyFill="1" applyBorder="1" applyAlignment="1">
      <alignment horizontal="center"/>
    </xf>
    <xf numFmtId="179" fontId="38" fillId="2" borderId="1" xfId="6" applyNumberFormat="1" applyFont="1" applyFill="1" applyBorder="1" applyAlignment="1"/>
    <xf numFmtId="0" fontId="22" fillId="0" borderId="0" xfId="6" applyFont="1" applyFill="1" applyBorder="1" applyAlignment="1"/>
    <xf numFmtId="179" fontId="106" fillId="4" borderId="24" xfId="6" applyNumberFormat="1" applyFont="1" applyFill="1" applyBorder="1" applyAlignment="1">
      <alignment horizontal="right"/>
    </xf>
    <xf numFmtId="179" fontId="106" fillId="4" borderId="0" xfId="6" applyNumberFormat="1" applyFont="1" applyFill="1" applyBorder="1" applyAlignment="1">
      <alignment horizontal="right"/>
    </xf>
    <xf numFmtId="179" fontId="106" fillId="4" borderId="1" xfId="6" applyNumberFormat="1" applyFont="1" applyFill="1" applyBorder="1" applyAlignment="1">
      <alignment horizontal="right"/>
    </xf>
    <xf numFmtId="179" fontId="2" fillId="4" borderId="0" xfId="6" applyNumberFormat="1" applyFont="1" applyFill="1" applyBorder="1" applyAlignment="1">
      <alignment horizontal="center"/>
    </xf>
    <xf numFmtId="0" fontId="109" fillId="0" borderId="0" xfId="6" applyFont="1" applyFill="1" applyBorder="1" applyAlignment="1"/>
    <xf numFmtId="179" fontId="66" fillId="2" borderId="24" xfId="6" applyNumberFormat="1" applyFont="1" applyFill="1" applyBorder="1" applyAlignment="1">
      <alignment horizontal="center"/>
    </xf>
    <xf numFmtId="179" fontId="66" fillId="2" borderId="0" xfId="6" applyNumberFormat="1" applyFont="1" applyFill="1" applyBorder="1" applyAlignment="1">
      <alignment horizontal="center"/>
    </xf>
    <xf numFmtId="179" fontId="66" fillId="2" borderId="1" xfId="6" applyNumberFormat="1" applyFont="1" applyFill="1" applyBorder="1" applyAlignment="1"/>
    <xf numFmtId="179" fontId="22" fillId="2" borderId="24" xfId="6" applyNumberFormat="1" applyFont="1" applyFill="1" applyBorder="1" applyAlignment="1">
      <alignment horizontal="right"/>
    </xf>
    <xf numFmtId="179" fontId="22" fillId="2" borderId="0" xfId="6" applyNumberFormat="1" applyFont="1" applyFill="1" applyBorder="1" applyAlignment="1">
      <alignment horizontal="right"/>
    </xf>
    <xf numFmtId="179" fontId="22" fillId="6" borderId="1" xfId="6" applyNumberFormat="1" applyFont="1" applyFill="1" applyBorder="1" applyAlignment="1">
      <alignment horizontal="right"/>
    </xf>
    <xf numFmtId="180" fontId="110" fillId="2" borderId="24" xfId="6" applyNumberFormat="1" applyFont="1" applyFill="1" applyBorder="1" applyAlignment="1"/>
    <xf numFmtId="180" fontId="110" fillId="2" borderId="0" xfId="6" applyNumberFormat="1" applyFont="1" applyFill="1" applyBorder="1" applyAlignment="1"/>
    <xf numFmtId="180" fontId="110" fillId="2" borderId="1" xfId="6" applyNumberFormat="1" applyFont="1" applyFill="1" applyBorder="1" applyAlignment="1"/>
    <xf numFmtId="180" fontId="86" fillId="0" borderId="0" xfId="6" applyNumberFormat="1" applyFont="1" applyFill="1" applyBorder="1" applyAlignment="1"/>
    <xf numFmtId="179" fontId="45" fillId="2" borderId="24" xfId="6" applyNumberFormat="1" applyFont="1" applyFill="1" applyBorder="1" applyAlignment="1">
      <alignment horizontal="right"/>
    </xf>
    <xf numFmtId="179" fontId="45" fillId="2" borderId="0" xfId="6" applyNumberFormat="1" applyFont="1" applyFill="1" applyBorder="1" applyAlignment="1">
      <alignment horizontal="right"/>
    </xf>
    <xf numFmtId="179" fontId="45" fillId="2" borderId="1" xfId="6" applyNumberFormat="1" applyFont="1" applyFill="1" applyBorder="1" applyAlignment="1">
      <alignment horizontal="right"/>
    </xf>
    <xf numFmtId="0" fontId="111" fillId="0" borderId="0" xfId="6" applyFont="1" applyFill="1" applyBorder="1" applyAlignment="1"/>
    <xf numFmtId="0" fontId="50" fillId="0" borderId="0" xfId="6" applyFont="1" applyFill="1" applyBorder="1" applyAlignment="1"/>
    <xf numFmtId="176" fontId="50" fillId="0" borderId="0" xfId="6" applyNumberFormat="1" applyFont="1" applyFill="1" applyBorder="1" applyAlignment="1">
      <alignment horizontal="right"/>
    </xf>
    <xf numFmtId="176" fontId="112" fillId="0" borderId="0" xfId="6" applyNumberFormat="1" applyFont="1" applyFill="1" applyBorder="1" applyAlignment="1">
      <alignment horizontal="right"/>
    </xf>
    <xf numFmtId="0" fontId="44" fillId="0" borderId="0" xfId="6" applyFont="1" applyFill="1" applyBorder="1" applyAlignment="1"/>
    <xf numFmtId="0" fontId="113" fillId="0" borderId="0" xfId="6" applyFont="1" applyFill="1" applyBorder="1" applyAlignment="1"/>
    <xf numFmtId="176" fontId="114" fillId="2" borderId="55" xfId="6" applyNumberFormat="1" applyFont="1" applyFill="1" applyBorder="1" applyAlignment="1">
      <alignment horizontal="right"/>
    </xf>
    <xf numFmtId="176" fontId="114" fillId="2" borderId="11" xfId="6" applyNumberFormat="1" applyFont="1" applyFill="1" applyBorder="1" applyAlignment="1">
      <alignment horizontal="right"/>
    </xf>
    <xf numFmtId="176" fontId="114" fillId="2" borderId="56" xfId="6" applyNumberFormat="1" applyFont="1" applyFill="1" applyBorder="1" applyAlignment="1">
      <alignment horizontal="right"/>
    </xf>
    <xf numFmtId="176" fontId="44" fillId="0" borderId="0" xfId="6" applyNumberFormat="1" applyFont="1" applyFill="1" applyBorder="1" applyAlignment="1">
      <alignment horizontal="right"/>
    </xf>
    <xf numFmtId="0" fontId="85" fillId="0" borderId="0" xfId="6" applyFont="1" applyFill="1" applyBorder="1" applyAlignment="1"/>
    <xf numFmtId="38" fontId="37" fillId="2" borderId="57" xfId="6" applyNumberFormat="1" applyFont="1" applyFill="1" applyBorder="1" applyAlignment="1">
      <alignment horizontal="right"/>
    </xf>
    <xf numFmtId="38" fontId="37" fillId="2" borderId="2" xfId="6" applyNumberFormat="1" applyFont="1" applyFill="1" applyBorder="1" applyAlignment="1">
      <alignment horizontal="right"/>
    </xf>
    <xf numFmtId="38" fontId="37" fillId="2" borderId="3" xfId="6" applyNumberFormat="1" applyFont="1" applyFill="1" applyBorder="1" applyAlignment="1">
      <alignment horizontal="right"/>
    </xf>
    <xf numFmtId="38" fontId="85" fillId="0" borderId="0" xfId="6" applyNumberFormat="1" applyFont="1" applyFill="1" applyBorder="1" applyAlignment="1">
      <alignment horizontal="right"/>
    </xf>
    <xf numFmtId="0" fontId="115" fillId="0" borderId="0" xfId="6" applyFont="1" applyFill="1" applyBorder="1" applyAlignment="1"/>
    <xf numFmtId="176" fontId="89" fillId="0" borderId="0" xfId="6" applyNumberFormat="1" applyFont="1" applyFill="1" applyBorder="1" applyAlignment="1">
      <alignment horizontal="right"/>
    </xf>
    <xf numFmtId="179" fontId="101" fillId="2" borderId="55" xfId="6" applyNumberFormat="1" applyFont="1" applyFill="1" applyBorder="1" applyAlignment="1">
      <alignment horizontal="right"/>
    </xf>
    <xf numFmtId="179" fontId="101" fillId="2" borderId="11" xfId="6" applyNumberFormat="1" applyFont="1" applyFill="1" applyBorder="1" applyAlignment="1">
      <alignment horizontal="right"/>
    </xf>
    <xf numFmtId="179" fontId="101" fillId="2" borderId="56" xfId="6" applyNumberFormat="1" applyFont="1" applyFill="1" applyBorder="1" applyAlignment="1">
      <alignment horizontal="right"/>
    </xf>
    <xf numFmtId="179" fontId="101" fillId="2" borderId="57" xfId="6" applyNumberFormat="1" applyFont="1" applyFill="1" applyBorder="1" applyAlignment="1">
      <alignment horizontal="right"/>
    </xf>
    <xf numFmtId="179" fontId="101" fillId="2" borderId="2" xfId="6" applyNumberFormat="1" applyFont="1" applyFill="1" applyBorder="1" applyAlignment="1">
      <alignment horizontal="right"/>
    </xf>
    <xf numFmtId="179" fontId="101" fillId="2" borderId="3" xfId="6" applyNumberFormat="1" applyFont="1" applyFill="1" applyBorder="1" applyAlignment="1">
      <alignment horizontal="right"/>
    </xf>
    <xf numFmtId="20" fontId="87" fillId="0" borderId="0" xfId="6" applyNumberFormat="1" applyFont="1" applyFill="1" applyBorder="1" applyAlignment="1">
      <alignment horizontal="center"/>
    </xf>
    <xf numFmtId="0" fontId="116" fillId="0" borderId="26" xfId="6" applyFont="1" applyFill="1" applyBorder="1" applyAlignment="1">
      <alignment horizontal="right"/>
    </xf>
    <xf numFmtId="0" fontId="116" fillId="0" borderId="26" xfId="6" quotePrefix="1" applyFont="1" applyFill="1" applyBorder="1" applyAlignment="1"/>
    <xf numFmtId="0" fontId="116" fillId="0" borderId="26" xfId="6" quotePrefix="1" applyFont="1" applyFill="1" applyBorder="1" applyAlignment="1">
      <alignment horizontal="center"/>
    </xf>
    <xf numFmtId="0" fontId="116" fillId="0" borderId="26" xfId="6" applyFont="1" applyFill="1" applyBorder="1" applyAlignment="1">
      <alignment horizontal="centerContinuous"/>
    </xf>
    <xf numFmtId="0" fontId="12" fillId="0" borderId="0" xfId="6" applyFont="1" applyFill="1" applyBorder="1" applyAlignment="1">
      <alignment horizontal="centerContinuous"/>
    </xf>
    <xf numFmtId="0" fontId="116" fillId="0" borderId="11" xfId="6" applyFont="1" applyFill="1" applyBorder="1" applyAlignment="1"/>
    <xf numFmtId="0" fontId="116" fillId="0" borderId="0" xfId="6" quotePrefix="1" applyFont="1" applyFill="1" applyBorder="1" applyAlignment="1"/>
    <xf numFmtId="0" fontId="116" fillId="0" borderId="0" xfId="6" quotePrefix="1" applyFont="1" applyFill="1" applyBorder="1" applyAlignment="1">
      <alignment horizontal="center"/>
    </xf>
    <xf numFmtId="0" fontId="116" fillId="0" borderId="0" xfId="6" applyFont="1" applyFill="1" applyBorder="1" applyAlignment="1">
      <alignment horizontal="right"/>
    </xf>
    <xf numFmtId="0" fontId="116" fillId="0" borderId="11" xfId="6" applyFont="1" applyFill="1" applyBorder="1" applyAlignment="1">
      <alignment horizontal="right"/>
    </xf>
    <xf numFmtId="0" fontId="13" fillId="0" borderId="0" xfId="7" applyFont="1"/>
    <xf numFmtId="0" fontId="117" fillId="4" borderId="61" xfId="6" applyFont="1" applyFill="1" applyBorder="1" applyAlignment="1"/>
    <xf numFmtId="0" fontId="118" fillId="0" borderId="0" xfId="6" applyFont="1" applyFill="1" applyBorder="1" applyAlignment="1">
      <alignment horizontal="centerContinuous" wrapText="1"/>
    </xf>
    <xf numFmtId="176" fontId="77" fillId="0" borderId="0" xfId="6" applyNumberFormat="1" applyFont="1" applyFill="1" applyBorder="1" applyAlignment="1">
      <alignment horizontal="centerContinuous" wrapText="1"/>
    </xf>
    <xf numFmtId="176" fontId="119" fillId="4" borderId="55" xfId="6" applyNumberFormat="1" applyFont="1" applyFill="1" applyBorder="1" applyAlignment="1">
      <alignment horizontal="right"/>
    </xf>
    <xf numFmtId="176" fontId="119" fillId="4" borderId="11" xfId="6" applyNumberFormat="1" applyFont="1" applyFill="1" applyBorder="1" applyAlignment="1">
      <alignment horizontal="right"/>
    </xf>
    <xf numFmtId="176" fontId="119" fillId="4" borderId="56" xfId="6" applyNumberFormat="1" applyFont="1" applyFill="1" applyBorder="1" applyAlignment="1">
      <alignment horizontal="right"/>
    </xf>
    <xf numFmtId="0" fontId="36" fillId="0" borderId="0" xfId="7" applyFont="1"/>
    <xf numFmtId="0" fontId="119" fillId="0" borderId="0" xfId="6" applyFont="1" applyFill="1" applyBorder="1" applyAlignment="1">
      <alignment vertical="center"/>
    </xf>
    <xf numFmtId="0" fontId="117" fillId="4" borderId="63" xfId="6" applyFont="1" applyFill="1" applyBorder="1" applyAlignment="1"/>
    <xf numFmtId="0" fontId="118" fillId="0" borderId="0" xfId="6" applyFont="1" applyFill="1" applyBorder="1" applyAlignment="1">
      <alignment horizontal="centerContinuous"/>
    </xf>
    <xf numFmtId="176" fontId="77" fillId="0" borderId="0" xfId="6" applyNumberFormat="1" applyFont="1" applyFill="1" applyBorder="1" applyAlignment="1">
      <alignment horizontal="centerContinuous"/>
    </xf>
    <xf numFmtId="176" fontId="119" fillId="4" borderId="57" xfId="6" applyNumberFormat="1" applyFont="1" applyFill="1" applyBorder="1" applyAlignment="1">
      <alignment horizontal="right"/>
    </xf>
    <xf numFmtId="176" fontId="119" fillId="4" borderId="2" xfId="6" applyNumberFormat="1" applyFont="1" applyFill="1" applyBorder="1" applyAlignment="1">
      <alignment horizontal="right"/>
    </xf>
    <xf numFmtId="176" fontId="119" fillId="4" borderId="3" xfId="6" applyNumberFormat="1" applyFont="1" applyFill="1" applyBorder="1" applyAlignment="1">
      <alignment horizontal="right"/>
    </xf>
    <xf numFmtId="37" fontId="45" fillId="0" borderId="0" xfId="6" applyNumberFormat="1" applyFont="1" applyFill="1" applyBorder="1" applyAlignment="1">
      <alignment horizontal="centerContinuous"/>
    </xf>
    <xf numFmtId="0" fontId="12" fillId="0" borderId="0" xfId="6" quotePrefix="1" applyFont="1" applyFill="1" applyBorder="1" applyAlignment="1"/>
    <xf numFmtId="0" fontId="12" fillId="0" borderId="0" xfId="6" quotePrefix="1" applyFont="1" applyFill="1" applyBorder="1" applyAlignment="1">
      <alignment horizontal="left"/>
    </xf>
    <xf numFmtId="1" fontId="45" fillId="0" borderId="0" xfId="6" applyNumberFormat="1" applyFont="1" applyFill="1" applyBorder="1" applyAlignment="1">
      <alignment horizontal="right"/>
    </xf>
    <xf numFmtId="1" fontId="45" fillId="0" borderId="0" xfId="6" applyNumberFormat="1" applyFont="1" applyFill="1" applyBorder="1" applyAlignment="1">
      <alignment horizontal="center"/>
    </xf>
    <xf numFmtId="175" fontId="12" fillId="4" borderId="22" xfId="6" applyNumberFormat="1" applyFont="1" applyFill="1" applyBorder="1" applyAlignment="1">
      <alignment horizontal="center"/>
    </xf>
    <xf numFmtId="175" fontId="12" fillId="4" borderId="26" xfId="6" applyNumberFormat="1" applyFont="1" applyFill="1" applyBorder="1" applyAlignment="1">
      <alignment horizontal="center"/>
    </xf>
    <xf numFmtId="175" fontId="12" fillId="4" borderId="23" xfId="6" applyNumberFormat="1" applyFont="1" applyFill="1" applyBorder="1" applyAlignment="1">
      <alignment horizontal="center"/>
    </xf>
    <xf numFmtId="179" fontId="43" fillId="2" borderId="55" xfId="6" applyNumberFormat="1" applyFont="1" applyFill="1" applyBorder="1" applyAlignment="1">
      <alignment horizontal="right"/>
    </xf>
    <xf numFmtId="179" fontId="43" fillId="2" borderId="11" xfId="6" applyNumberFormat="1" applyFont="1" applyFill="1" applyBorder="1" applyAlignment="1">
      <alignment horizontal="right"/>
    </xf>
    <xf numFmtId="179" fontId="43" fillId="2" borderId="56" xfId="6" applyNumberFormat="1" applyFont="1" applyFill="1" applyBorder="1" applyAlignment="1">
      <alignment horizontal="right"/>
    </xf>
    <xf numFmtId="0" fontId="120" fillId="0" borderId="0" xfId="6" applyFont="1" applyFill="1" applyBorder="1" applyAlignment="1"/>
    <xf numFmtId="0" fontId="105" fillId="0" borderId="0" xfId="6" applyFont="1" applyFill="1" applyBorder="1" applyAlignment="1">
      <alignment horizontal="right"/>
    </xf>
    <xf numFmtId="175" fontId="106" fillId="2" borderId="24" xfId="6" applyNumberFormat="1" applyFont="1" applyFill="1" applyBorder="1" applyAlignment="1">
      <alignment horizontal="right"/>
    </xf>
    <xf numFmtId="175" fontId="22" fillId="2" borderId="0" xfId="6" applyNumberFormat="1" applyFont="1" applyFill="1" applyBorder="1" applyAlignment="1">
      <alignment horizontal="right"/>
    </xf>
    <xf numFmtId="175" fontId="22" fillId="2" borderId="1" xfId="6" applyNumberFormat="1" applyFont="1" applyFill="1" applyBorder="1" applyAlignment="1">
      <alignment horizontal="right"/>
    </xf>
    <xf numFmtId="175" fontId="105" fillId="0" borderId="0" xfId="6" applyNumberFormat="1" applyFont="1" applyFill="1" applyBorder="1" applyAlignment="1">
      <alignment horizontal="right"/>
    </xf>
    <xf numFmtId="0" fontId="104" fillId="0" borderId="0" xfId="6" applyFont="1" applyFill="1" applyBorder="1" applyAlignment="1">
      <alignment vertical="center"/>
    </xf>
    <xf numFmtId="175" fontId="66" fillId="2" borderId="24" xfId="6" applyNumberFormat="1" applyFont="1" applyFill="1" applyBorder="1" applyAlignment="1">
      <alignment horizontal="center" vertical="top" wrapText="1"/>
    </xf>
    <xf numFmtId="175" fontId="66" fillId="2" borderId="0" xfId="6" applyNumberFormat="1" applyFont="1" applyFill="1" applyBorder="1" applyAlignment="1">
      <alignment horizontal="center" vertical="top" wrapText="1"/>
    </xf>
    <xf numFmtId="175" fontId="66" fillId="2" borderId="1" xfId="6" applyNumberFormat="1" applyFont="1" applyFill="1" applyBorder="1" applyAlignment="1">
      <alignment horizontal="center" vertical="top" wrapText="1"/>
    </xf>
    <xf numFmtId="0" fontId="105" fillId="6" borderId="0" xfId="6" applyFont="1" applyFill="1" applyBorder="1" applyAlignment="1"/>
    <xf numFmtId="0" fontId="121" fillId="0" borderId="0" xfId="6" applyFont="1" applyFill="1" applyBorder="1" applyAlignment="1"/>
    <xf numFmtId="0" fontId="121" fillId="0" borderId="0" xfId="6" applyFont="1" applyFill="1" applyBorder="1" applyAlignment="1">
      <alignment horizontal="center"/>
    </xf>
    <xf numFmtId="179" fontId="105" fillId="6" borderId="24" xfId="6" applyNumberFormat="1" applyFont="1" applyFill="1" applyBorder="1" applyAlignment="1">
      <alignment horizontal="right"/>
    </xf>
    <xf numFmtId="179" fontId="105" fillId="6" borderId="0" xfId="6" applyNumberFormat="1" applyFont="1" applyFill="1" applyBorder="1" applyAlignment="1">
      <alignment horizontal="right"/>
    </xf>
    <xf numFmtId="179" fontId="105" fillId="6" borderId="1" xfId="6" applyNumberFormat="1" applyFont="1" applyFill="1" applyBorder="1" applyAlignment="1">
      <alignment horizontal="right"/>
    </xf>
    <xf numFmtId="176" fontId="12" fillId="2" borderId="24" xfId="6" applyNumberFormat="1" applyFont="1" applyFill="1" applyBorder="1" applyAlignment="1">
      <alignment horizontal="right"/>
    </xf>
    <xf numFmtId="175" fontId="105" fillId="2" borderId="24" xfId="6" applyNumberFormat="1" applyFont="1" applyFill="1" applyBorder="1" applyAlignment="1">
      <alignment horizontal="right"/>
    </xf>
    <xf numFmtId="175" fontId="105" fillId="2" borderId="0" xfId="6" applyNumberFormat="1" applyFont="1" applyFill="1" applyBorder="1" applyAlignment="1">
      <alignment horizontal="right"/>
    </xf>
    <xf numFmtId="175" fontId="105" fillId="2" borderId="1" xfId="6" applyNumberFormat="1" applyFont="1" applyFill="1" applyBorder="1" applyAlignment="1">
      <alignment horizontal="right"/>
    </xf>
    <xf numFmtId="175" fontId="105" fillId="0" borderId="0" xfId="6" applyNumberFormat="1" applyFont="1" applyFill="1" applyBorder="1" applyAlignment="1" applyProtection="1">
      <alignment horizontal="right"/>
    </xf>
    <xf numFmtId="176" fontId="105" fillId="6" borderId="24" xfId="6" applyNumberFormat="1" applyFont="1" applyFill="1" applyBorder="1" applyAlignment="1">
      <alignment horizontal="right"/>
    </xf>
    <xf numFmtId="176" fontId="105" fillId="6" borderId="0" xfId="6" applyNumberFormat="1" applyFont="1" applyFill="1" applyBorder="1" applyAlignment="1">
      <alignment horizontal="right"/>
    </xf>
    <xf numFmtId="176" fontId="105" fillId="6" borderId="1" xfId="6" applyNumberFormat="1" applyFont="1" applyFill="1" applyBorder="1" applyAlignment="1">
      <alignment horizontal="right"/>
    </xf>
    <xf numFmtId="0" fontId="39" fillId="0" borderId="0" xfId="6" applyFont="1" applyFill="1" applyBorder="1" applyAlignment="1"/>
    <xf numFmtId="176" fontId="39" fillId="2" borderId="24" xfId="6" applyNumberFormat="1" applyFont="1" applyFill="1" applyBorder="1" applyAlignment="1">
      <alignment horizontal="center"/>
    </xf>
    <xf numFmtId="176" fontId="39" fillId="2" borderId="0" xfId="6" applyNumberFormat="1" applyFont="1" applyFill="1" applyBorder="1" applyAlignment="1">
      <alignment horizontal="center"/>
    </xf>
    <xf numFmtId="176" fontId="39" fillId="2" borderId="1" xfId="6" applyNumberFormat="1" applyFont="1" applyFill="1" applyBorder="1" applyAlignment="1">
      <alignment horizontal="center"/>
    </xf>
    <xf numFmtId="176" fontId="39" fillId="0" borderId="0" xfId="6" applyNumberFormat="1" applyFont="1" applyFill="1" applyBorder="1" applyAlignment="1">
      <alignment horizontal="center"/>
    </xf>
    <xf numFmtId="0" fontId="104" fillId="0" borderId="0" xfId="6" applyFont="1" applyFill="1" applyBorder="1" applyAlignment="1">
      <alignment vertical="top" wrapText="1"/>
    </xf>
    <xf numFmtId="176" fontId="66" fillId="2" borderId="24" xfId="6" applyNumberFormat="1" applyFont="1" applyFill="1" applyBorder="1" applyAlignment="1">
      <alignment horizontal="center" vertical="top" wrapText="1"/>
    </xf>
    <xf numFmtId="176" fontId="66" fillId="2" borderId="0" xfId="6" applyNumberFormat="1" applyFont="1" applyFill="1" applyBorder="1" applyAlignment="1">
      <alignment horizontal="center" vertical="top" wrapText="1"/>
    </xf>
    <xf numFmtId="176" fontId="66" fillId="2" borderId="1" xfId="6" applyNumberFormat="1" applyFont="1" applyFill="1" applyBorder="1" applyAlignment="1">
      <alignment horizontal="center" vertical="top" wrapText="1"/>
    </xf>
    <xf numFmtId="0" fontId="104" fillId="0" borderId="0" xfId="6" applyFont="1" applyFill="1" applyBorder="1" applyAlignment="1">
      <alignment horizontal="centerContinuous" wrapText="1"/>
    </xf>
    <xf numFmtId="0" fontId="12" fillId="0" borderId="0" xfId="6" applyFont="1" applyFill="1" applyBorder="1" applyAlignment="1">
      <alignment horizontal="centerContinuous" wrapText="1"/>
    </xf>
    <xf numFmtId="179" fontId="106" fillId="6" borderId="24" xfId="6" applyNumberFormat="1" applyFont="1" applyFill="1" applyBorder="1" applyAlignment="1">
      <alignment horizontal="right"/>
    </xf>
    <xf numFmtId="179" fontId="106" fillId="6" borderId="0" xfId="6" applyNumberFormat="1" applyFont="1" applyFill="1" applyBorder="1" applyAlignment="1">
      <alignment horizontal="right"/>
    </xf>
    <xf numFmtId="179" fontId="106" fillId="6" borderId="1" xfId="6" applyNumberFormat="1" applyFont="1" applyFill="1" applyBorder="1" applyAlignment="1">
      <alignment horizontal="right"/>
    </xf>
    <xf numFmtId="176" fontId="85" fillId="2" borderId="24" xfId="6" applyNumberFormat="1" applyFont="1" applyFill="1" applyBorder="1" applyAlignment="1">
      <alignment horizontal="right"/>
    </xf>
    <xf numFmtId="176" fontId="85" fillId="2" borderId="0" xfId="6" applyNumberFormat="1" applyFont="1" applyFill="1" applyBorder="1" applyAlignment="1">
      <alignment horizontal="right"/>
    </xf>
    <xf numFmtId="176" fontId="85" fillId="2" borderId="1" xfId="6" applyNumberFormat="1" applyFont="1" applyFill="1" applyBorder="1" applyAlignment="1">
      <alignment horizontal="right"/>
    </xf>
    <xf numFmtId="176" fontId="85" fillId="0" borderId="0" xfId="6" applyNumberFormat="1" applyFont="1" applyFill="1" applyBorder="1" applyAlignment="1">
      <alignment horizontal="right"/>
    </xf>
    <xf numFmtId="176" fontId="105" fillId="4" borderId="0" xfId="6" applyNumberFormat="1" applyFont="1" applyFill="1" applyBorder="1" applyAlignment="1">
      <alignment horizontal="right"/>
    </xf>
    <xf numFmtId="176" fontId="122" fillId="0" borderId="0" xfId="6" applyNumberFormat="1" applyFont="1" applyFill="1" applyBorder="1" applyAlignment="1">
      <alignment horizontal="right"/>
    </xf>
    <xf numFmtId="0" fontId="123" fillId="0" borderId="0" xfId="6" applyFont="1" applyFill="1" applyBorder="1" applyAlignment="1" applyProtection="1"/>
    <xf numFmtId="0" fontId="123" fillId="0" borderId="0" xfId="6" applyFont="1" applyFill="1" applyBorder="1" applyAlignment="1" applyProtection="1">
      <alignment horizontal="left"/>
    </xf>
    <xf numFmtId="176" fontId="36" fillId="2" borderId="0" xfId="6" applyNumberFormat="1" applyFont="1" applyFill="1" applyBorder="1" applyAlignment="1">
      <alignment horizontal="right"/>
    </xf>
    <xf numFmtId="176" fontId="36" fillId="2" borderId="1" xfId="6" applyNumberFormat="1" applyFont="1" applyFill="1" applyBorder="1" applyAlignment="1">
      <alignment horizontal="right"/>
    </xf>
    <xf numFmtId="176" fontId="36" fillId="3" borderId="24" xfId="6" applyNumberFormat="1" applyFont="1" applyFill="1" applyBorder="1" applyAlignment="1">
      <alignment horizontal="right"/>
    </xf>
    <xf numFmtId="176" fontId="36" fillId="3" borderId="0" xfId="6" applyNumberFormat="1" applyFont="1" applyFill="1" applyBorder="1" applyAlignment="1">
      <alignment horizontal="right"/>
    </xf>
    <xf numFmtId="176" fontId="36" fillId="3" borderId="1" xfId="6" applyNumberFormat="1" applyFont="1" applyFill="1" applyBorder="1" applyAlignment="1">
      <alignment horizontal="right"/>
    </xf>
    <xf numFmtId="176" fontId="101" fillId="3" borderId="24" xfId="6" applyNumberFormat="1" applyFont="1" applyFill="1" applyBorder="1" applyAlignment="1">
      <alignment horizontal="right"/>
    </xf>
    <xf numFmtId="0" fontId="39" fillId="0" borderId="0" xfId="6" applyFont="1" applyFill="1" applyBorder="1" applyAlignment="1">
      <alignment horizontal="right"/>
    </xf>
    <xf numFmtId="176" fontId="39" fillId="2" borderId="24" xfId="6" applyNumberFormat="1" applyFont="1" applyFill="1" applyBorder="1" applyAlignment="1">
      <alignment horizontal="right"/>
    </xf>
    <xf numFmtId="176" fontId="39" fillId="2" borderId="0" xfId="6" applyNumberFormat="1" applyFont="1" applyFill="1" applyBorder="1" applyAlignment="1">
      <alignment horizontal="right"/>
    </xf>
    <xf numFmtId="176" fontId="39" fillId="2" borderId="1" xfId="6" applyNumberFormat="1" applyFont="1" applyFill="1" applyBorder="1" applyAlignment="1">
      <alignment horizontal="right"/>
    </xf>
    <xf numFmtId="176" fontId="43" fillId="2" borderId="24" xfId="6" applyNumberFormat="1" applyFont="1" applyFill="1" applyBorder="1" applyAlignment="1">
      <alignment horizontal="right" vertical="center"/>
    </xf>
    <xf numFmtId="176" fontId="43" fillId="2" borderId="0" xfId="6" applyNumberFormat="1" applyFont="1" applyFill="1" applyBorder="1" applyAlignment="1">
      <alignment horizontal="right" vertical="center"/>
    </xf>
    <xf numFmtId="176" fontId="43" fillId="2" borderId="1" xfId="6" applyNumberFormat="1" applyFont="1" applyFill="1" applyBorder="1" applyAlignment="1">
      <alignment horizontal="right" vertical="center"/>
    </xf>
    <xf numFmtId="176" fontId="12" fillId="0" borderId="0" xfId="6" applyNumberFormat="1" applyFont="1" applyFill="1" applyBorder="1" applyAlignment="1">
      <alignment horizontal="right" vertical="center"/>
    </xf>
    <xf numFmtId="175" fontId="105" fillId="2" borderId="57" xfId="6" applyNumberFormat="1" applyFont="1" applyFill="1" applyBorder="1" applyAlignment="1">
      <alignment horizontal="right" vertical="center"/>
    </xf>
    <xf numFmtId="175" fontId="105" fillId="2" borderId="2" xfId="6" applyNumberFormat="1" applyFont="1" applyFill="1" applyBorder="1" applyAlignment="1">
      <alignment horizontal="right" vertical="center"/>
    </xf>
    <xf numFmtId="175" fontId="105" fillId="2" borderId="3" xfId="6" applyNumberFormat="1" applyFont="1" applyFill="1" applyBorder="1" applyAlignment="1">
      <alignment horizontal="right" vertical="center"/>
    </xf>
    <xf numFmtId="175" fontId="105" fillId="0" borderId="0" xfId="6" applyNumberFormat="1" applyFont="1" applyFill="1" applyBorder="1" applyAlignment="1">
      <alignment horizontal="right" vertical="center"/>
    </xf>
    <xf numFmtId="0" fontId="105" fillId="0" borderId="0" xfId="6" applyFont="1" applyFill="1" applyBorder="1" applyAlignment="1">
      <alignment vertical="center"/>
    </xf>
    <xf numFmtId="38" fontId="39" fillId="0" borderId="0" xfId="6" applyNumberFormat="1" applyFont="1" applyFill="1" applyBorder="1" applyAlignment="1">
      <alignment horizontal="right"/>
    </xf>
    <xf numFmtId="38" fontId="12" fillId="0" borderId="0" xfId="6" applyNumberFormat="1" applyFont="1" applyFill="1" applyBorder="1" applyAlignment="1">
      <alignment horizontal="right"/>
    </xf>
    <xf numFmtId="20" fontId="23" fillId="0" borderId="0" xfId="7" applyNumberFormat="1" applyFont="1" applyAlignment="1">
      <alignment horizontal="center"/>
    </xf>
    <xf numFmtId="176" fontId="12" fillId="0" borderId="0" xfId="6" applyNumberFormat="1" applyFont="1" applyFill="1" applyBorder="1" applyAlignment="1">
      <alignment horizontal="center"/>
    </xf>
    <xf numFmtId="0" fontId="122" fillId="4" borderId="55" xfId="6" applyFont="1" applyFill="1" applyBorder="1" applyAlignment="1"/>
    <xf numFmtId="0" fontId="122" fillId="4" borderId="11" xfId="6" applyFont="1" applyFill="1" applyBorder="1" applyAlignment="1"/>
    <xf numFmtId="38" fontId="122" fillId="4" borderId="11" xfId="6" applyNumberFormat="1" applyFont="1" applyFill="1" applyBorder="1" applyAlignment="1">
      <alignment horizontal="right"/>
    </xf>
    <xf numFmtId="38" fontId="42" fillId="4" borderId="11" xfId="6" applyNumberFormat="1" applyFont="1" applyFill="1" applyBorder="1" applyAlignment="1">
      <alignment horizontal="right"/>
    </xf>
    <xf numFmtId="176" fontId="42" fillId="4" borderId="11" xfId="6" applyNumberFormat="1" applyFont="1" applyFill="1" applyBorder="1" applyAlignment="1">
      <alignment horizontal="right"/>
    </xf>
    <xf numFmtId="176" fontId="122" fillId="4" borderId="11" xfId="6" applyNumberFormat="1" applyFont="1" applyFill="1" applyBorder="1" applyAlignment="1">
      <alignment horizontal="right"/>
    </xf>
    <xf numFmtId="0" fontId="124" fillId="4" borderId="11" xfId="6" applyFont="1" applyFill="1" applyBorder="1" applyAlignment="1"/>
    <xf numFmtId="0" fontId="124" fillId="4" borderId="56" xfId="6" applyFont="1" applyFill="1" applyBorder="1" applyAlignment="1"/>
    <xf numFmtId="0" fontId="41" fillId="0" borderId="0" xfId="6" applyFont="1" applyFill="1" applyBorder="1" applyAlignment="1"/>
    <xf numFmtId="0" fontId="122" fillId="4" borderId="24" xfId="6" applyFont="1" applyFill="1" applyBorder="1" applyAlignment="1"/>
    <xf numFmtId="0" fontId="122" fillId="4" borderId="0" xfId="6" applyFont="1" applyFill="1" applyBorder="1" applyAlignment="1"/>
    <xf numFmtId="38" fontId="122" fillId="4" borderId="0" xfId="6" applyNumberFormat="1" applyFont="1" applyFill="1" applyBorder="1" applyAlignment="1">
      <alignment horizontal="right"/>
    </xf>
    <xf numFmtId="38" fontId="42" fillId="4" borderId="0" xfId="6" applyNumberFormat="1" applyFont="1" applyFill="1" applyBorder="1" applyAlignment="1">
      <alignment horizontal="right"/>
    </xf>
    <xf numFmtId="176" fontId="42" fillId="4" borderId="0" xfId="6" applyNumberFormat="1" applyFont="1" applyFill="1" applyBorder="1" applyAlignment="1">
      <alignment horizontal="right"/>
    </xf>
    <xf numFmtId="0" fontId="124" fillId="4" borderId="0" xfId="6" applyFont="1" applyFill="1" applyBorder="1" applyAlignment="1"/>
    <xf numFmtId="0" fontId="124" fillId="4" borderId="1" xfId="6" applyFont="1" applyFill="1" applyBorder="1" applyAlignment="1"/>
    <xf numFmtId="38" fontId="124" fillId="4" borderId="0" xfId="6" applyNumberFormat="1" applyFont="1" applyFill="1" applyBorder="1" applyAlignment="1"/>
    <xf numFmtId="38" fontId="39" fillId="4" borderId="0" xfId="6" applyNumberFormat="1" applyFont="1" applyFill="1" applyBorder="1" applyAlignment="1">
      <alignment horizontal="centerContinuous"/>
    </xf>
    <xf numFmtId="176" fontId="39" fillId="4" borderId="0" xfId="6" applyNumberFormat="1" applyFont="1" applyFill="1" applyBorder="1" applyAlignment="1">
      <alignment horizontal="right"/>
    </xf>
    <xf numFmtId="176" fontId="122" fillId="4" borderId="0" xfId="6" applyNumberFormat="1" applyFont="1" applyFill="1" applyBorder="1" applyAlignment="1">
      <alignment horizontal="right"/>
    </xf>
    <xf numFmtId="38" fontId="38" fillId="4" borderId="24" xfId="6" applyNumberFormat="1" applyFont="1" applyFill="1" applyBorder="1" applyAlignment="1">
      <alignment horizontal="centerContinuous" vertical="center" wrapText="1"/>
    </xf>
    <xf numFmtId="0" fontId="42" fillId="4" borderId="0" xfId="6" applyFont="1" applyFill="1" applyBorder="1" applyAlignment="1">
      <alignment horizontal="centerContinuous" vertical="top" wrapText="1"/>
    </xf>
    <xf numFmtId="38" fontId="38" fillId="4" borderId="0" xfId="6" applyNumberFormat="1" applyFont="1" applyFill="1" applyBorder="1" applyAlignment="1">
      <alignment horizontal="centerContinuous" vertical="top" wrapText="1"/>
    </xf>
    <xf numFmtId="38" fontId="42" fillId="4" borderId="0" xfId="6" applyNumberFormat="1" applyFont="1" applyFill="1" applyBorder="1" applyAlignment="1"/>
    <xf numFmtId="176" fontId="43" fillId="6" borderId="4" xfId="6" applyNumberFormat="1" applyFont="1" applyFill="1" applyBorder="1" applyAlignment="1">
      <alignment horizontal="right" vertical="center"/>
    </xf>
    <xf numFmtId="176" fontId="122" fillId="4" borderId="0" xfId="6" applyNumberFormat="1" applyFont="1" applyFill="1" applyBorder="1" applyAlignment="1">
      <alignment vertical="center"/>
    </xf>
    <xf numFmtId="0" fontId="38" fillId="4" borderId="0" xfId="6" applyFont="1" applyFill="1" applyBorder="1" applyAlignment="1">
      <alignment horizontal="centerContinuous" wrapText="1"/>
    </xf>
    <xf numFmtId="0" fontId="41" fillId="4" borderId="0" xfId="6" applyFont="1" applyFill="1" applyBorder="1" applyAlignment="1">
      <alignment horizontal="centerContinuous" wrapText="1"/>
    </xf>
    <xf numFmtId="0" fontId="41" fillId="4" borderId="1" xfId="6" applyFont="1" applyFill="1" applyBorder="1" applyAlignment="1">
      <alignment horizontal="centerContinuous" wrapText="1"/>
    </xf>
    <xf numFmtId="0" fontId="125" fillId="4" borderId="57" xfId="6" applyFont="1" applyFill="1" applyBorder="1" applyAlignment="1"/>
    <xf numFmtId="0" fontId="124" fillId="4" borderId="2" xfId="6" applyFont="1" applyFill="1" applyBorder="1" applyAlignment="1"/>
    <xf numFmtId="176" fontId="124" fillId="4" borderId="2" xfId="6" applyNumberFormat="1" applyFont="1" applyFill="1" applyBorder="1" applyAlignment="1">
      <alignment horizontal="right"/>
    </xf>
    <xf numFmtId="176" fontId="41" fillId="4" borderId="2" xfId="6" applyNumberFormat="1" applyFont="1" applyFill="1" applyBorder="1" applyAlignment="1">
      <alignment horizontal="right"/>
    </xf>
    <xf numFmtId="176" fontId="42" fillId="4" borderId="2" xfId="7" applyNumberFormat="1" applyFont="1" applyFill="1" applyBorder="1" applyAlignment="1"/>
    <xf numFmtId="0" fontId="125" fillId="4" borderId="2" xfId="6" applyFont="1" applyFill="1" applyBorder="1" applyAlignment="1"/>
    <xf numFmtId="0" fontId="41" fillId="4" borderId="2" xfId="6" applyFont="1" applyFill="1" applyBorder="1" applyAlignment="1"/>
    <xf numFmtId="0" fontId="41" fillId="4" borderId="3" xfId="6" applyFont="1" applyFill="1" applyBorder="1" applyAlignment="1"/>
    <xf numFmtId="0" fontId="123" fillId="4" borderId="0" xfId="6" applyFont="1" applyFill="1" applyBorder="1" applyAlignment="1"/>
    <xf numFmtId="176" fontId="41" fillId="4" borderId="0" xfId="6" applyNumberFormat="1" applyFont="1" applyFill="1" applyBorder="1" applyAlignment="1">
      <alignment horizontal="right"/>
    </xf>
    <xf numFmtId="0" fontId="126" fillId="4" borderId="0" xfId="6" applyFont="1" applyFill="1" applyBorder="1" applyAlignment="1"/>
    <xf numFmtId="0" fontId="124" fillId="0" borderId="0" xfId="6" applyFont="1" applyFill="1" applyBorder="1" applyAlignment="1"/>
    <xf numFmtId="176" fontId="123" fillId="4" borderId="0" xfId="6" applyNumberFormat="1" applyFont="1" applyFill="1" applyBorder="1" applyAlignment="1" applyProtection="1"/>
    <xf numFmtId="176" fontId="124" fillId="4" borderId="0" xfId="6" applyNumberFormat="1" applyFont="1" applyFill="1" applyBorder="1" applyAlignment="1" applyProtection="1"/>
    <xf numFmtId="176" fontId="35" fillId="4" borderId="0" xfId="6" applyNumberFormat="1" applyFont="1" applyFill="1" applyBorder="1" applyAlignment="1" applyProtection="1">
      <alignment horizontal="centerContinuous" vertical="top" wrapText="1"/>
    </xf>
    <xf numFmtId="176" fontId="35" fillId="4" borderId="0" xfId="6" applyNumberFormat="1" applyFont="1" applyFill="1" applyBorder="1" applyAlignment="1" applyProtection="1">
      <alignment horizontal="centerContinuous" wrapText="1"/>
    </xf>
    <xf numFmtId="176" fontId="122" fillId="4" borderId="0" xfId="6" applyNumberFormat="1" applyFont="1" applyFill="1" applyBorder="1" applyAlignment="1" applyProtection="1">
      <alignment horizontal="right"/>
    </xf>
    <xf numFmtId="176" fontId="122" fillId="4" borderId="0" xfId="6" applyNumberFormat="1" applyFont="1" applyFill="1" applyBorder="1" applyAlignment="1" applyProtection="1"/>
    <xf numFmtId="176" fontId="42" fillId="4" borderId="0" xfId="6" applyNumberFormat="1" applyFont="1" applyFill="1" applyBorder="1" applyAlignment="1" applyProtection="1">
      <alignment horizontal="centerContinuous"/>
    </xf>
    <xf numFmtId="0" fontId="122" fillId="4" borderId="1" xfId="6" applyFont="1" applyFill="1" applyBorder="1" applyAlignment="1"/>
    <xf numFmtId="0" fontId="122" fillId="0" borderId="0" xfId="6" applyFont="1" applyFill="1" applyBorder="1" applyAlignment="1"/>
    <xf numFmtId="0" fontId="122" fillId="4" borderId="3" xfId="6" applyFont="1" applyFill="1" applyBorder="1" applyAlignment="1"/>
    <xf numFmtId="0" fontId="123" fillId="4" borderId="0" xfId="6" applyFont="1" applyFill="1" applyBorder="1" applyAlignment="1" applyProtection="1">
      <alignment horizontal="left"/>
    </xf>
    <xf numFmtId="0" fontId="122" fillId="0" borderId="2" xfId="6" applyFont="1" applyFill="1" applyBorder="1" applyAlignment="1"/>
    <xf numFmtId="1" fontId="122" fillId="4" borderId="0" xfId="6" applyNumberFormat="1" applyFont="1" applyFill="1" applyBorder="1" applyAlignment="1" applyProtection="1">
      <alignment horizontal="right"/>
    </xf>
    <xf numFmtId="0" fontId="122" fillId="4" borderId="56" xfId="6" applyFont="1" applyFill="1" applyBorder="1" applyAlignment="1"/>
    <xf numFmtId="177" fontId="122" fillId="4" borderId="0" xfId="6" applyNumberFormat="1" applyFont="1" applyFill="1" applyBorder="1" applyAlignment="1" applyProtection="1">
      <alignment horizontal="right"/>
    </xf>
    <xf numFmtId="0" fontId="122" fillId="4" borderId="0" xfId="7" applyFont="1" applyFill="1" applyAlignment="1"/>
    <xf numFmtId="0" fontId="122" fillId="4" borderId="0" xfId="7" applyFont="1" applyFill="1" applyAlignment="1">
      <alignment horizontal="right"/>
    </xf>
    <xf numFmtId="0" fontId="122" fillId="4" borderId="1" xfId="7" applyFont="1" applyFill="1" applyBorder="1" applyAlignment="1"/>
    <xf numFmtId="177" fontId="122" fillId="4" borderId="0" xfId="7" applyNumberFormat="1" applyFont="1" applyFill="1" applyAlignment="1">
      <alignment horizontal="right"/>
    </xf>
    <xf numFmtId="177" fontId="122" fillId="4" borderId="2" xfId="6" applyNumberFormat="1" applyFont="1" applyFill="1" applyBorder="1" applyAlignment="1" applyProtection="1">
      <alignment horizontal="right"/>
    </xf>
    <xf numFmtId="0" fontId="123" fillId="4" borderId="2" xfId="6" applyFont="1" applyFill="1" applyBorder="1" applyAlignment="1" applyProtection="1">
      <alignment horizontal="left"/>
    </xf>
    <xf numFmtId="1" fontId="122" fillId="4" borderId="2" xfId="6" applyNumberFormat="1" applyFont="1" applyFill="1" applyBorder="1" applyAlignment="1" applyProtection="1">
      <alignment horizontal="right"/>
    </xf>
    <xf numFmtId="0" fontId="122" fillId="4" borderId="2" xfId="7" applyFont="1" applyFill="1" applyBorder="1" applyAlignment="1"/>
    <xf numFmtId="0" fontId="122" fillId="4" borderId="3" xfId="7" applyFont="1" applyFill="1" applyBorder="1" applyAlignment="1"/>
    <xf numFmtId="0" fontId="37" fillId="0" borderId="0" xfId="6" applyFont="1" applyFill="1" applyBorder="1" applyAlignment="1" applyProtection="1">
      <alignment horizontal="left"/>
    </xf>
    <xf numFmtId="0" fontId="12" fillId="0" borderId="11" xfId="6" applyFont="1" applyFill="1" applyBorder="1" applyAlignment="1">
      <alignment horizontal="right"/>
    </xf>
    <xf numFmtId="0" fontId="88" fillId="0" borderId="0" xfId="6" applyFont="1" applyFill="1" applyBorder="1" applyAlignment="1"/>
    <xf numFmtId="176" fontId="88" fillId="2" borderId="24" xfId="6" applyNumberFormat="1" applyFont="1" applyFill="1" applyBorder="1" applyAlignment="1">
      <alignment horizontal="center"/>
    </xf>
    <xf numFmtId="176" fontId="88" fillId="2" borderId="0" xfId="6" applyNumberFormat="1" applyFont="1" applyFill="1" applyBorder="1" applyAlignment="1">
      <alignment horizontal="center"/>
    </xf>
    <xf numFmtId="176" fontId="88" fillId="2" borderId="1" xfId="6" applyNumberFormat="1" applyFont="1" applyFill="1" applyBorder="1" applyAlignment="1">
      <alignment horizontal="center"/>
    </xf>
    <xf numFmtId="176" fontId="88" fillId="0" borderId="0" xfId="6" applyNumberFormat="1" applyFont="1" applyFill="1" applyBorder="1" applyAlignment="1">
      <alignment horizontal="center"/>
    </xf>
    <xf numFmtId="0" fontId="88" fillId="0" borderId="0" xfId="6" applyFont="1" applyFill="1" applyBorder="1" applyAlignment="1">
      <alignment horizontal="centerContinuous"/>
    </xf>
    <xf numFmtId="0" fontId="45" fillId="0" borderId="0" xfId="6" applyFont="1" applyFill="1" applyBorder="1" applyAlignment="1">
      <alignment horizontal="centerContinuous"/>
    </xf>
    <xf numFmtId="0" fontId="85" fillId="0" borderId="0" xfId="6" applyFont="1" applyFill="1" applyBorder="1" applyAlignment="1">
      <alignment horizontal="right"/>
    </xf>
    <xf numFmtId="192" fontId="12" fillId="2" borderId="24" xfId="6" applyNumberFormat="1" applyFont="1" applyFill="1" applyBorder="1" applyAlignment="1">
      <alignment horizontal="right"/>
    </xf>
    <xf numFmtId="192" fontId="12" fillId="2" borderId="0" xfId="6" applyNumberFormat="1" applyFont="1" applyFill="1" applyBorder="1" applyAlignment="1">
      <alignment horizontal="right"/>
    </xf>
    <xf numFmtId="192" fontId="12" fillId="2" borderId="1" xfId="6" applyNumberFormat="1" applyFont="1" applyFill="1" applyBorder="1" applyAlignment="1">
      <alignment horizontal="right"/>
    </xf>
    <xf numFmtId="0" fontId="45" fillId="4" borderId="61" xfId="6" applyFont="1" applyFill="1" applyBorder="1" applyAlignment="1"/>
    <xf numFmtId="0" fontId="45" fillId="4" borderId="56" xfId="6" applyFont="1" applyFill="1" applyBorder="1" applyAlignment="1"/>
    <xf numFmtId="0" fontId="127" fillId="4" borderId="62" xfId="6" applyFont="1" applyFill="1" applyBorder="1" applyAlignment="1"/>
    <xf numFmtId="176" fontId="12" fillId="4" borderId="63" xfId="6" applyNumberFormat="1" applyFont="1" applyFill="1" applyBorder="1" applyAlignment="1">
      <alignment horizontal="center"/>
    </xf>
    <xf numFmtId="0" fontId="1" fillId="4" borderId="24" xfId="7" applyFont="1" applyFill="1" applyBorder="1"/>
    <xf numFmtId="0" fontId="12" fillId="4" borderId="23" xfId="6" applyFont="1" applyFill="1" applyBorder="1" applyAlignment="1"/>
    <xf numFmtId="176" fontId="66" fillId="2" borderId="24" xfId="6" applyNumberFormat="1" applyFont="1" applyFill="1" applyBorder="1" applyAlignment="1">
      <alignment horizontal="center"/>
    </xf>
    <xf numFmtId="176" fontId="66" fillId="2" borderId="0" xfId="6" applyNumberFormat="1" applyFont="1" applyFill="1" applyBorder="1" applyAlignment="1">
      <alignment horizontal="center"/>
    </xf>
    <xf numFmtId="176" fontId="66" fillId="2" borderId="1" xfId="6" applyNumberFormat="1" applyFont="1" applyFill="1" applyBorder="1" applyAlignment="1">
      <alignment horizontal="center"/>
    </xf>
    <xf numFmtId="176" fontId="105" fillId="0" borderId="0" xfId="6" applyNumberFormat="1" applyFont="1" applyFill="1" applyBorder="1" applyAlignment="1">
      <alignment horizontal="right"/>
    </xf>
    <xf numFmtId="0" fontId="12" fillId="4" borderId="62" xfId="6" applyFont="1" applyFill="1" applyBorder="1" applyAlignment="1">
      <alignment horizontal="center"/>
    </xf>
    <xf numFmtId="190" fontId="107" fillId="2" borderId="24" xfId="6" applyNumberFormat="1" applyFont="1" applyFill="1" applyBorder="1" applyAlignment="1">
      <alignment horizontal="right"/>
    </xf>
    <xf numFmtId="190" fontId="107" fillId="2" borderId="0" xfId="6" applyNumberFormat="1" applyFont="1" applyFill="1" applyBorder="1" applyAlignment="1">
      <alignment horizontal="right"/>
    </xf>
    <xf numFmtId="190" fontId="107" fillId="2" borderId="1" xfId="6" applyNumberFormat="1" applyFont="1" applyFill="1" applyBorder="1" applyAlignment="1">
      <alignment horizontal="right"/>
    </xf>
    <xf numFmtId="0" fontId="12" fillId="4" borderId="61" xfId="6" applyFont="1" applyFill="1" applyBorder="1" applyAlignment="1">
      <alignment horizontal="center"/>
    </xf>
    <xf numFmtId="179" fontId="107" fillId="2" borderId="24" xfId="6" applyNumberFormat="1" applyFont="1" applyFill="1" applyBorder="1" applyAlignment="1">
      <alignment horizontal="right"/>
    </xf>
    <xf numFmtId="179" fontId="107" fillId="2" borderId="0" xfId="6" applyNumberFormat="1" applyFont="1" applyFill="1" applyBorder="1" applyAlignment="1">
      <alignment horizontal="right"/>
    </xf>
    <xf numFmtId="179" fontId="107" fillId="2" borderId="1" xfId="6" applyNumberFormat="1" applyFont="1" applyFill="1" applyBorder="1" applyAlignment="1">
      <alignment horizontal="right"/>
    </xf>
    <xf numFmtId="0" fontId="12" fillId="4" borderId="63" xfId="6" applyFont="1" applyFill="1" applyBorder="1" applyAlignment="1">
      <alignment horizontal="center"/>
    </xf>
    <xf numFmtId="0" fontId="128" fillId="0" borderId="0" xfId="6" applyFont="1" applyFill="1" applyBorder="1" applyAlignment="1"/>
    <xf numFmtId="176" fontId="106" fillId="2" borderId="24" xfId="6" applyNumberFormat="1" applyFont="1" applyFill="1" applyBorder="1" applyAlignment="1">
      <alignment horizontal="centerContinuous"/>
    </xf>
    <xf numFmtId="176" fontId="106" fillId="2" borderId="0" xfId="6" applyNumberFormat="1" applyFont="1" applyFill="1" applyBorder="1" applyAlignment="1">
      <alignment horizontal="centerContinuous"/>
    </xf>
    <xf numFmtId="176" fontId="106" fillId="2" borderId="1" xfId="6" applyNumberFormat="1" applyFont="1" applyFill="1" applyBorder="1" applyAlignment="1">
      <alignment horizontal="centerContinuous"/>
    </xf>
    <xf numFmtId="176" fontId="12" fillId="4" borderId="62" xfId="6" applyNumberFormat="1" applyFont="1" applyFill="1" applyBorder="1" applyAlignment="1">
      <alignment horizontal="center"/>
    </xf>
    <xf numFmtId="180" fontId="110" fillId="2" borderId="24" xfId="6" applyNumberFormat="1" applyFont="1" applyFill="1" applyBorder="1" applyAlignment="1">
      <alignment horizontal="right"/>
    </xf>
    <xf numFmtId="180" fontId="110" fillId="2" borderId="0" xfId="6" applyNumberFormat="1" applyFont="1" applyFill="1" applyBorder="1" applyAlignment="1">
      <alignment horizontal="right"/>
    </xf>
    <xf numFmtId="180" fontId="110" fillId="2" borderId="1" xfId="6" applyNumberFormat="1" applyFont="1" applyFill="1" applyBorder="1" applyAlignment="1">
      <alignment horizontal="right"/>
    </xf>
    <xf numFmtId="180" fontId="86" fillId="0" borderId="0" xfId="6" applyNumberFormat="1" applyFont="1" applyFill="1" applyBorder="1" applyAlignment="1">
      <alignment horizontal="right"/>
    </xf>
    <xf numFmtId="174" fontId="86" fillId="2" borderId="24" xfId="6" applyNumberFormat="1" applyFont="1" applyFill="1" applyBorder="1" applyAlignment="1">
      <alignment horizontal="right"/>
    </xf>
    <xf numFmtId="174" fontId="86" fillId="2" borderId="0" xfId="6" applyNumberFormat="1" applyFont="1" applyFill="1" applyBorder="1" applyAlignment="1">
      <alignment horizontal="right"/>
    </xf>
    <xf numFmtId="174" fontId="86" fillId="2" borderId="1" xfId="6" applyNumberFormat="1" applyFont="1" applyFill="1" applyBorder="1" applyAlignment="1">
      <alignment horizontal="right"/>
    </xf>
    <xf numFmtId="174" fontId="86" fillId="0" borderId="0" xfId="6" applyNumberFormat="1" applyFont="1" applyFill="1" applyBorder="1" applyAlignment="1">
      <alignment horizontal="right"/>
    </xf>
    <xf numFmtId="0" fontId="45" fillId="4" borderId="62" xfId="6" applyFont="1" applyFill="1" applyBorder="1" applyAlignment="1"/>
    <xf numFmtId="174" fontId="66" fillId="2" borderId="24" xfId="6" applyNumberFormat="1" applyFont="1" applyFill="1" applyBorder="1" applyAlignment="1">
      <alignment horizontal="center"/>
    </xf>
    <xf numFmtId="174" fontId="66" fillId="2" borderId="0" xfId="6" applyNumberFormat="1" applyFont="1" applyFill="1" applyBorder="1" applyAlignment="1">
      <alignment horizontal="center"/>
    </xf>
    <xf numFmtId="174" fontId="66" fillId="2" borderId="1" xfId="6" applyNumberFormat="1" applyFont="1" applyFill="1" applyBorder="1" applyAlignment="1">
      <alignment horizontal="center"/>
    </xf>
    <xf numFmtId="0" fontId="65" fillId="4" borderId="62" xfId="6" applyFont="1" applyFill="1" applyBorder="1" applyAlignment="1"/>
    <xf numFmtId="0" fontId="45" fillId="4" borderId="63" xfId="6" applyFont="1" applyFill="1" applyBorder="1" applyAlignment="1"/>
    <xf numFmtId="0" fontId="35" fillId="4" borderId="62" xfId="7" applyFont="1" applyFill="1" applyBorder="1" applyAlignment="1">
      <alignment horizontal="center"/>
    </xf>
    <xf numFmtId="0" fontId="62" fillId="0" borderId="0" xfId="7" applyFont="1" applyFill="1" applyAlignment="1"/>
    <xf numFmtId="179" fontId="105" fillId="4" borderId="24" xfId="6" applyNumberFormat="1" applyFont="1" applyFill="1" applyBorder="1" applyAlignment="1">
      <alignment horizontal="right"/>
    </xf>
    <xf numFmtId="179" fontId="105" fillId="4" borderId="0" xfId="6" applyNumberFormat="1" applyFont="1" applyFill="1" applyBorder="1" applyAlignment="1">
      <alignment horizontal="right"/>
    </xf>
    <xf numFmtId="179" fontId="105" fillId="4" borderId="1" xfId="6" applyNumberFormat="1" applyFont="1" applyFill="1" applyBorder="1" applyAlignment="1">
      <alignment horizontal="right"/>
    </xf>
    <xf numFmtId="0" fontId="45" fillId="4" borderId="61" xfId="6" applyFont="1" applyFill="1" applyBorder="1" applyAlignment="1">
      <alignment horizontal="center"/>
    </xf>
    <xf numFmtId="0" fontId="7" fillId="4" borderId="62" xfId="7" applyFont="1" applyFill="1" applyBorder="1" applyAlignment="1">
      <alignment horizontal="center"/>
    </xf>
    <xf numFmtId="0" fontId="13" fillId="0" borderId="0" xfId="7" applyFont="1" applyFill="1" applyAlignment="1"/>
    <xf numFmtId="0" fontId="45" fillId="4" borderId="62" xfId="6" applyFont="1" applyFill="1" applyBorder="1" applyAlignment="1">
      <alignment horizontal="center"/>
    </xf>
    <xf numFmtId="0" fontId="45" fillId="4" borderId="63" xfId="6" applyFont="1" applyFill="1" applyBorder="1" applyAlignment="1">
      <alignment horizontal="center"/>
    </xf>
    <xf numFmtId="176" fontId="105" fillId="0" borderId="24" xfId="6" applyNumberFormat="1" applyFont="1" applyFill="1" applyBorder="1" applyAlignment="1">
      <alignment horizontal="right"/>
    </xf>
    <xf numFmtId="176" fontId="105" fillId="0" borderId="1" xfId="6" applyNumberFormat="1" applyFont="1" applyFill="1" applyBorder="1" applyAlignment="1">
      <alignment horizontal="right"/>
    </xf>
    <xf numFmtId="176" fontId="22" fillId="0" borderId="24" xfId="6" applyNumberFormat="1" applyFont="1" applyFill="1" applyBorder="1" applyAlignment="1">
      <alignment horizontal="right"/>
    </xf>
    <xf numFmtId="176" fontId="22" fillId="0" borderId="0" xfId="6" applyNumberFormat="1" applyFont="1" applyFill="1" applyBorder="1" applyAlignment="1">
      <alignment horizontal="right"/>
    </xf>
    <xf numFmtId="176" fontId="22" fillId="0" borderId="1" xfId="6" applyNumberFormat="1" applyFont="1" applyFill="1" applyBorder="1" applyAlignment="1">
      <alignment horizontal="right"/>
    </xf>
    <xf numFmtId="0" fontId="65" fillId="4" borderId="62" xfId="6" applyFont="1" applyFill="1" applyBorder="1" applyAlignment="1">
      <alignment horizontal="center"/>
    </xf>
    <xf numFmtId="3" fontId="12" fillId="4" borderId="62" xfId="6" applyNumberFormat="1" applyFont="1" applyFill="1" applyBorder="1" applyAlignment="1">
      <alignment horizontal="center"/>
    </xf>
    <xf numFmtId="176" fontId="105" fillId="0" borderId="0" xfId="6" applyNumberFormat="1" applyFont="1" applyFill="1" applyBorder="1" applyAlignment="1"/>
    <xf numFmtId="176" fontId="105" fillId="0" borderId="1" xfId="6" applyNumberFormat="1" applyFont="1" applyFill="1" applyBorder="1" applyAlignment="1"/>
    <xf numFmtId="176" fontId="45" fillId="0" borderId="0" xfId="6" applyNumberFormat="1" applyFont="1" applyFill="1" applyBorder="1" applyAlignment="1">
      <alignment horizontal="center"/>
    </xf>
    <xf numFmtId="179" fontId="129" fillId="0" borderId="0" xfId="6" applyNumberFormat="1" applyFont="1" applyFill="1" applyBorder="1" applyAlignment="1">
      <alignment horizontal="right"/>
    </xf>
    <xf numFmtId="179" fontId="130" fillId="0" borderId="5" xfId="6" applyNumberFormat="1" applyFont="1" applyFill="1" applyBorder="1" applyAlignment="1">
      <alignment horizontal="center" vertical="center"/>
    </xf>
    <xf numFmtId="0" fontId="36" fillId="0" borderId="6" xfId="6" applyFont="1" applyFill="1" applyBorder="1" applyAlignment="1">
      <alignment vertical="center"/>
    </xf>
    <xf numFmtId="0" fontId="35" fillId="0" borderId="6" xfId="6" applyFont="1" applyFill="1" applyBorder="1" applyAlignment="1">
      <alignment vertical="center"/>
    </xf>
    <xf numFmtId="0" fontId="36" fillId="0" borderId="53" xfId="6" applyFont="1" applyFill="1" applyBorder="1" applyAlignment="1"/>
    <xf numFmtId="176" fontId="12" fillId="2" borderId="57" xfId="6" applyNumberFormat="1" applyFont="1" applyFill="1" applyBorder="1" applyAlignment="1">
      <alignment horizontal="right"/>
    </xf>
    <xf numFmtId="176" fontId="12" fillId="2" borderId="2" xfId="6" applyNumberFormat="1" applyFont="1" applyFill="1" applyBorder="1" applyAlignment="1">
      <alignment horizontal="right"/>
    </xf>
    <xf numFmtId="176" fontId="12" fillId="2" borderId="3" xfId="6" applyNumberFormat="1" applyFont="1" applyFill="1" applyBorder="1" applyAlignment="1">
      <alignment horizontal="right"/>
    </xf>
    <xf numFmtId="176" fontId="39" fillId="0" borderId="0" xfId="6" applyNumberFormat="1" applyFont="1" applyFill="1" applyBorder="1" applyAlignment="1">
      <alignment horizontal="right"/>
    </xf>
    <xf numFmtId="0" fontId="78" fillId="0" borderId="0" xfId="6" applyFont="1" applyFill="1" applyBorder="1" applyAlignment="1" applyProtection="1">
      <alignment horizontal="centerContinuous"/>
      <protection hidden="1"/>
    </xf>
    <xf numFmtId="16" fontId="39" fillId="0" borderId="0" xfId="6" applyNumberFormat="1" applyFont="1" applyFill="1" applyBorder="1" applyAlignment="1"/>
    <xf numFmtId="0" fontId="35" fillId="0" borderId="0" xfId="6" applyFont="1" applyAlignment="1"/>
    <xf numFmtId="16" fontId="131" fillId="0" borderId="0" xfId="6" applyNumberFormat="1" applyFont="1" applyFill="1" applyBorder="1" applyAlignment="1">
      <alignment horizontal="centerContinuous"/>
    </xf>
    <xf numFmtId="16" fontId="132" fillId="0" borderId="0" xfId="6" applyNumberFormat="1" applyFont="1" applyFill="1" applyBorder="1" applyAlignment="1">
      <alignment horizontal="centerContinuous"/>
    </xf>
    <xf numFmtId="37" fontId="131" fillId="0" borderId="0" xfId="6" applyNumberFormat="1" applyFont="1" applyFill="1" applyBorder="1" applyAlignment="1">
      <alignment horizontal="centerContinuous"/>
    </xf>
    <xf numFmtId="0" fontId="132" fillId="0" borderId="0" xfId="6" applyFont="1" applyFill="1" applyBorder="1" applyAlignment="1">
      <alignment horizontal="centerContinuous"/>
    </xf>
    <xf numFmtId="189" fontId="25" fillId="0" borderId="0" xfId="7" applyNumberFormat="1" applyFont="1" applyAlignment="1">
      <alignment horizontal="center"/>
    </xf>
    <xf numFmtId="189" fontId="89" fillId="0" borderId="0" xfId="7" applyNumberFormat="1" applyFont="1" applyAlignment="1">
      <alignment horizontal="center"/>
    </xf>
    <xf numFmtId="0" fontId="35" fillId="0" borderId="0" xfId="6" applyFont="1" applyFill="1" applyBorder="1" applyAlignment="1"/>
    <xf numFmtId="0" fontId="36" fillId="0" borderId="0" xfId="6" applyFont="1" applyFill="1" applyBorder="1" applyAlignment="1"/>
    <xf numFmtId="175" fontId="45" fillId="2" borderId="24" xfId="6" applyNumberFormat="1" applyFont="1" applyFill="1" applyBorder="1" applyAlignment="1">
      <alignment horizontal="right"/>
    </xf>
    <xf numFmtId="175" fontId="45" fillId="2" borderId="0" xfId="6" applyNumberFormat="1" applyFont="1" applyFill="1" applyBorder="1" applyAlignment="1">
      <alignment horizontal="right"/>
    </xf>
    <xf numFmtId="175" fontId="45" fillId="2" borderId="1" xfId="6" applyNumberFormat="1" applyFont="1" applyFill="1" applyBorder="1" applyAlignment="1">
      <alignment horizontal="right"/>
    </xf>
    <xf numFmtId="175" fontId="36" fillId="0" borderId="0" xfId="6" applyNumberFormat="1" applyFont="1" applyFill="1" applyBorder="1" applyAlignment="1">
      <alignment horizontal="right"/>
    </xf>
    <xf numFmtId="175" fontId="101" fillId="2" borderId="24" xfId="6" applyNumberFormat="1" applyFont="1" applyFill="1" applyBorder="1" applyAlignment="1">
      <alignment horizontal="right"/>
    </xf>
    <xf numFmtId="175" fontId="101" fillId="2" borderId="0" xfId="6" applyNumberFormat="1" applyFont="1" applyFill="1" applyBorder="1" applyAlignment="1">
      <alignment horizontal="right"/>
    </xf>
    <xf numFmtId="175" fontId="101" fillId="2" borderId="1" xfId="6" applyNumberFormat="1" applyFont="1" applyFill="1" applyBorder="1" applyAlignment="1">
      <alignment horizontal="right"/>
    </xf>
    <xf numFmtId="0" fontId="36" fillId="0" borderId="0" xfId="7" applyFont="1" applyFill="1"/>
    <xf numFmtId="0" fontId="13" fillId="0" borderId="0" xfId="7" applyFont="1" applyFill="1"/>
    <xf numFmtId="179" fontId="36" fillId="0" borderId="0" xfId="6" applyNumberFormat="1" applyFont="1" applyFill="1" applyBorder="1" applyAlignment="1">
      <alignment horizontal="right"/>
    </xf>
    <xf numFmtId="176" fontId="36" fillId="0" borderId="0" xfId="6" applyNumberFormat="1" applyFont="1" applyFill="1" applyBorder="1" applyAlignment="1">
      <alignment horizontal="right"/>
    </xf>
    <xf numFmtId="0" fontId="35" fillId="0" borderId="0" xfId="7" applyFont="1" applyFill="1"/>
    <xf numFmtId="0" fontId="7" fillId="0" borderId="0" xfId="7" applyFont="1" applyFill="1"/>
    <xf numFmtId="0" fontId="7" fillId="0" borderId="0" xfId="7" applyFont="1"/>
    <xf numFmtId="16" fontId="45" fillId="2" borderId="24" xfId="6" applyNumberFormat="1" applyFont="1" applyFill="1" applyBorder="1" applyAlignment="1">
      <alignment horizontal="right"/>
    </xf>
    <xf numFmtId="16" fontId="45" fillId="2" borderId="0" xfId="6" applyNumberFormat="1" applyFont="1" applyFill="1" applyBorder="1" applyAlignment="1">
      <alignment horizontal="right"/>
    </xf>
    <xf numFmtId="16" fontId="45" fillId="2" borderId="1" xfId="6" applyNumberFormat="1" applyFont="1" applyFill="1" applyBorder="1" applyAlignment="1">
      <alignment horizontal="right"/>
    </xf>
    <xf numFmtId="0" fontId="36" fillId="0" borderId="0" xfId="6" applyFont="1" applyFill="1" applyBorder="1" applyAlignment="1">
      <alignment horizontal="right"/>
    </xf>
    <xf numFmtId="0" fontId="36" fillId="2" borderId="24" xfId="7" applyFont="1" applyFill="1" applyBorder="1"/>
    <xf numFmtId="0" fontId="36" fillId="2" borderId="0" xfId="7" applyFont="1" applyFill="1"/>
    <xf numFmtId="0" fontId="36" fillId="2" borderId="1" xfId="7" applyFont="1" applyFill="1" applyBorder="1"/>
    <xf numFmtId="175" fontId="36" fillId="2" borderId="24" xfId="7" applyNumberFormat="1" applyFont="1" applyFill="1" applyBorder="1" applyAlignment="1">
      <alignment horizontal="right"/>
    </xf>
    <xf numFmtId="175" fontId="36" fillId="2" borderId="0" xfId="7" applyNumberFormat="1" applyFont="1" applyFill="1" applyAlignment="1">
      <alignment horizontal="right"/>
    </xf>
    <xf numFmtId="175" fontId="36" fillId="2" borderId="1" xfId="7" applyNumberFormat="1" applyFont="1" applyFill="1" applyBorder="1" applyAlignment="1">
      <alignment horizontal="right"/>
    </xf>
    <xf numFmtId="175" fontId="36" fillId="0" borderId="0" xfId="7" applyNumberFormat="1" applyFont="1" applyFill="1" applyAlignment="1">
      <alignment horizontal="right"/>
    </xf>
    <xf numFmtId="38" fontId="45" fillId="2" borderId="24" xfId="6" applyNumberFormat="1" applyFont="1" applyFill="1" applyBorder="1" applyAlignment="1">
      <alignment horizontal="right"/>
    </xf>
    <xf numFmtId="38" fontId="45" fillId="2" borderId="0" xfId="6" applyNumberFormat="1" applyFont="1" applyFill="1" applyBorder="1" applyAlignment="1">
      <alignment horizontal="right"/>
    </xf>
    <xf numFmtId="38" fontId="45" fillId="2" borderId="1" xfId="6" applyNumberFormat="1" applyFont="1" applyFill="1" applyBorder="1" applyAlignment="1">
      <alignment horizontal="right"/>
    </xf>
    <xf numFmtId="38" fontId="36" fillId="0" borderId="0" xfId="6" applyNumberFormat="1" applyFont="1" applyFill="1" applyBorder="1" applyAlignment="1">
      <alignment horizontal="right"/>
    </xf>
    <xf numFmtId="16" fontId="45" fillId="2" borderId="57" xfId="6" applyNumberFormat="1" applyFont="1" applyFill="1" applyBorder="1" applyAlignment="1">
      <alignment horizontal="right"/>
    </xf>
    <xf numFmtId="16" fontId="45" fillId="2" borderId="2" xfId="6" applyNumberFormat="1" applyFont="1" applyFill="1" applyBorder="1" applyAlignment="1">
      <alignment horizontal="right"/>
    </xf>
    <xf numFmtId="16" fontId="45" fillId="2" borderId="3" xfId="6" applyNumberFormat="1" applyFont="1" applyFill="1" applyBorder="1" applyAlignment="1">
      <alignment horizontal="right"/>
    </xf>
    <xf numFmtId="0" fontId="12" fillId="0" borderId="2" xfId="6" applyFont="1" applyFill="1" applyBorder="1" applyAlignment="1">
      <alignment horizontal="center"/>
    </xf>
    <xf numFmtId="0" fontId="36" fillId="0" borderId="0" xfId="6" applyFont="1" applyFill="1" applyBorder="1" applyAlignment="1">
      <alignment vertical="top"/>
    </xf>
    <xf numFmtId="37" fontId="12" fillId="0" borderId="0" xfId="6" applyNumberFormat="1" applyFont="1" applyFill="1" applyBorder="1" applyAlignment="1"/>
    <xf numFmtId="0" fontId="36" fillId="0" borderId="0" xfId="2" applyFont="1"/>
    <xf numFmtId="15" fontId="12" fillId="0" borderId="0" xfId="6" applyNumberFormat="1" applyFont="1" applyFill="1" applyBorder="1" applyAlignment="1">
      <alignment horizontal="centerContinuous" vertical="center"/>
    </xf>
    <xf numFmtId="0" fontId="41" fillId="0" borderId="0" xfId="6" applyFont="1" applyFill="1" applyBorder="1"/>
    <xf numFmtId="37" fontId="42" fillId="0" borderId="0" xfId="6" applyNumberFormat="1" applyFont="1" applyFill="1" applyBorder="1" applyAlignment="1">
      <alignment horizontal="left"/>
    </xf>
    <xf numFmtId="0" fontId="35" fillId="0" borderId="0" xfId="6" applyFont="1"/>
    <xf numFmtId="0" fontId="76" fillId="0" borderId="2" xfId="6" applyFont="1" applyFill="1" applyBorder="1" applyAlignment="1">
      <alignment vertical="top" wrapText="1"/>
    </xf>
    <xf numFmtId="0" fontId="45" fillId="0" borderId="2" xfId="6" applyFont="1" applyFill="1" applyBorder="1" applyAlignment="1">
      <alignment vertical="top" wrapText="1"/>
    </xf>
    <xf numFmtId="0" fontId="45" fillId="0" borderId="2" xfId="6" applyFont="1" applyFill="1" applyBorder="1" applyAlignment="1">
      <alignment horizontal="centerContinuous" vertical="top" wrapText="1"/>
    </xf>
    <xf numFmtId="16" fontId="45" fillId="0" borderId="2" xfId="6" applyNumberFormat="1" applyFont="1" applyFill="1" applyBorder="1" applyAlignment="1">
      <alignment vertical="top" wrapText="1"/>
    </xf>
    <xf numFmtId="0" fontId="85" fillId="0" borderId="0" xfId="6" applyFont="1" applyFill="1" applyBorder="1"/>
    <xf numFmtId="176" fontId="76" fillId="0" borderId="0" xfId="6" applyNumberFormat="1" applyFont="1" applyFill="1" applyBorder="1" applyAlignment="1"/>
    <xf numFmtId="176" fontId="79" fillId="0" borderId="0" xfId="6" applyNumberFormat="1" applyFont="1" applyFill="1" applyBorder="1" applyAlignment="1">
      <alignment horizontal="centerContinuous"/>
    </xf>
    <xf numFmtId="176" fontId="80" fillId="0" borderId="0" xfId="6" applyNumberFormat="1" applyFont="1" applyFill="1" applyBorder="1" applyAlignment="1">
      <alignment horizontal="centerContinuous"/>
    </xf>
    <xf numFmtId="0" fontId="13" fillId="0" borderId="0" xfId="2" applyFont="1"/>
    <xf numFmtId="179" fontId="36" fillId="2" borderId="24" xfId="6" applyNumberFormat="1" applyFont="1" applyFill="1" applyBorder="1" applyAlignment="1">
      <alignment horizontal="right"/>
    </xf>
    <xf numFmtId="179" fontId="36" fillId="2" borderId="0" xfId="6" applyNumberFormat="1" applyFont="1" applyFill="1" applyBorder="1" applyAlignment="1">
      <alignment horizontal="right"/>
    </xf>
    <xf numFmtId="179" fontId="36" fillId="2" borderId="1" xfId="6" applyNumberFormat="1" applyFont="1" applyFill="1" applyBorder="1" applyAlignment="1">
      <alignment horizontal="right"/>
    </xf>
    <xf numFmtId="176" fontId="45" fillId="6" borderId="24" xfId="6" applyNumberFormat="1" applyFont="1" applyFill="1" applyBorder="1" applyAlignment="1">
      <alignment horizontal="right"/>
    </xf>
    <xf numFmtId="176" fontId="45" fillId="6" borderId="0" xfId="6" applyNumberFormat="1" applyFont="1" applyFill="1" applyBorder="1" applyAlignment="1">
      <alignment horizontal="right"/>
    </xf>
    <xf numFmtId="179" fontId="45" fillId="4" borderId="24" xfId="6" applyNumberFormat="1" applyFont="1" applyFill="1" applyBorder="1" applyAlignment="1">
      <alignment horizontal="centerContinuous"/>
    </xf>
    <xf numFmtId="179" fontId="45" fillId="4" borderId="0" xfId="6" applyNumberFormat="1" applyFont="1" applyFill="1" applyBorder="1" applyAlignment="1">
      <alignment horizontal="centerContinuous"/>
    </xf>
    <xf numFmtId="179" fontId="45" fillId="4" borderId="1" xfId="6" applyNumberFormat="1" applyFont="1" applyFill="1" applyBorder="1" applyAlignment="1">
      <alignment horizontal="centerContinuous"/>
    </xf>
    <xf numFmtId="176" fontId="45" fillId="4" borderId="0" xfId="6" applyNumberFormat="1" applyFont="1" applyFill="1" applyBorder="1" applyAlignment="1">
      <alignment horizontal="centerContinuous" vertical="center"/>
    </xf>
    <xf numFmtId="176" fontId="12" fillId="4" borderId="0" xfId="6" applyNumberFormat="1" applyFont="1" applyFill="1" applyBorder="1" applyAlignment="1">
      <alignment horizontal="centerContinuous" vertical="center"/>
    </xf>
    <xf numFmtId="0" fontId="12" fillId="0" borderId="0" xfId="6" applyFont="1" applyFill="1" applyBorder="1" applyAlignment="1">
      <alignment horizontal="centerContinuous" vertical="top" wrapText="1"/>
    </xf>
    <xf numFmtId="176" fontId="44" fillId="2" borderId="57" xfId="6" applyNumberFormat="1" applyFont="1" applyFill="1" applyBorder="1" applyAlignment="1">
      <alignment horizontal="right" vertical="center"/>
    </xf>
    <xf numFmtId="176" fontId="44" fillId="2" borderId="2" xfId="6" applyNumberFormat="1" applyFont="1" applyFill="1" applyBorder="1" applyAlignment="1">
      <alignment horizontal="right" vertical="center"/>
    </xf>
    <xf numFmtId="176" fontId="44" fillId="2" borderId="3" xfId="6" applyNumberFormat="1" applyFont="1" applyFill="1" applyBorder="1" applyAlignment="1">
      <alignment horizontal="right" vertical="center"/>
    </xf>
    <xf numFmtId="176" fontId="12" fillId="4" borderId="0" xfId="6" applyNumberFormat="1" applyFont="1" applyFill="1" applyBorder="1" applyAlignment="1">
      <alignment horizontal="right"/>
    </xf>
    <xf numFmtId="0" fontId="39" fillId="0" borderId="0" xfId="6" applyFont="1" applyFill="1" applyBorder="1"/>
    <xf numFmtId="176" fontId="85" fillId="0" borderId="0" xfId="6" applyNumberFormat="1" applyFont="1" applyFill="1" applyBorder="1" applyAlignment="1">
      <alignment horizontal="centerContinuous" vertical="center"/>
    </xf>
    <xf numFmtId="176" fontId="45" fillId="0" borderId="0" xfId="6" applyNumberFormat="1" applyFont="1" applyFill="1" applyBorder="1" applyAlignment="1">
      <alignment horizontal="centerContinuous" vertical="center"/>
    </xf>
    <xf numFmtId="1" fontId="12" fillId="6" borderId="25" xfId="6" applyNumberFormat="1" applyFont="1" applyFill="1" applyBorder="1" applyAlignment="1">
      <alignment horizontal="center"/>
    </xf>
    <xf numFmtId="1" fontId="12" fillId="0" borderId="0" xfId="6" applyNumberFormat="1" applyFont="1" applyFill="1" applyBorder="1" applyAlignment="1">
      <alignment horizontal="center"/>
    </xf>
    <xf numFmtId="176" fontId="38" fillId="0" borderId="0" xfId="6" applyNumberFormat="1" applyFont="1" applyFill="1" applyBorder="1" applyAlignment="1">
      <alignment horizontal="left"/>
    </xf>
    <xf numFmtId="0" fontId="82" fillId="0" borderId="0" xfId="6" applyFont="1" applyFill="1" applyBorder="1" applyAlignment="1">
      <alignment horizontal="right"/>
    </xf>
    <xf numFmtId="176" fontId="45" fillId="0" borderId="0" xfId="6" applyNumberFormat="1" applyFont="1" applyFill="1" applyBorder="1" applyAlignment="1">
      <alignment horizontal="centerContinuous"/>
    </xf>
    <xf numFmtId="181" fontId="45" fillId="2" borderId="55" xfId="6" applyNumberFormat="1" applyFont="1" applyFill="1" applyBorder="1" applyAlignment="1">
      <alignment horizontal="right"/>
    </xf>
    <xf numFmtId="181" fontId="45" fillId="2" borderId="11" xfId="6" applyNumberFormat="1" applyFont="1" applyFill="1" applyBorder="1" applyAlignment="1">
      <alignment horizontal="right"/>
    </xf>
    <xf numFmtId="181" fontId="45" fillId="2" borderId="56" xfId="6" applyNumberFormat="1" applyFont="1" applyFill="1" applyBorder="1" applyAlignment="1">
      <alignment horizontal="right"/>
    </xf>
    <xf numFmtId="181" fontId="45" fillId="0" borderId="0" xfId="6" applyNumberFormat="1" applyFont="1" applyFill="1" applyBorder="1" applyAlignment="1">
      <alignment horizontal="right"/>
    </xf>
    <xf numFmtId="178" fontId="45" fillId="4" borderId="24" xfId="6" applyNumberFormat="1" applyFont="1" applyFill="1" applyBorder="1" applyAlignment="1">
      <alignment horizontal="right"/>
    </xf>
    <xf numFmtId="178" fontId="45" fillId="4" borderId="0" xfId="6" applyNumberFormat="1" applyFont="1" applyFill="1" applyBorder="1" applyAlignment="1">
      <alignment horizontal="right"/>
    </xf>
    <xf numFmtId="178" fontId="45" fillId="4" borderId="1" xfId="6" applyNumberFormat="1" applyFont="1" applyFill="1" applyBorder="1" applyAlignment="1">
      <alignment horizontal="right"/>
    </xf>
    <xf numFmtId="186" fontId="45" fillId="0" borderId="0" xfId="6" applyNumberFormat="1" applyFont="1" applyFill="1" applyBorder="1" applyAlignment="1">
      <alignment horizontal="right"/>
    </xf>
    <xf numFmtId="176" fontId="45" fillId="4" borderId="24" xfId="6" applyNumberFormat="1" applyFont="1" applyFill="1" applyBorder="1" applyAlignment="1">
      <alignment horizontal="right"/>
    </xf>
    <xf numFmtId="176" fontId="45" fillId="4" borderId="1" xfId="6" applyNumberFormat="1" applyFont="1" applyFill="1" applyBorder="1" applyAlignment="1">
      <alignment horizontal="right"/>
    </xf>
    <xf numFmtId="0" fontId="36" fillId="5" borderId="0" xfId="6" applyFont="1" applyFill="1" applyBorder="1"/>
    <xf numFmtId="176" fontId="12" fillId="5" borderId="0" xfId="6" applyNumberFormat="1" applyFont="1" applyFill="1" applyBorder="1" applyAlignment="1">
      <alignment horizontal="right"/>
    </xf>
    <xf numFmtId="0" fontId="45" fillId="5" borderId="0" xfId="6" applyFont="1" applyFill="1" applyBorder="1"/>
    <xf numFmtId="176" fontId="45" fillId="4" borderId="24" xfId="6" applyNumberFormat="1" applyFont="1" applyFill="1" applyBorder="1" applyAlignment="1">
      <alignment horizontal="centerContinuous"/>
    </xf>
    <xf numFmtId="176" fontId="12" fillId="4" borderId="0" xfId="6" applyNumberFormat="1" applyFont="1" applyFill="1" applyBorder="1" applyAlignment="1">
      <alignment horizontal="centerContinuous"/>
    </xf>
    <xf numFmtId="176" fontId="45" fillId="4" borderId="1" xfId="6" applyNumberFormat="1" applyFont="1" applyFill="1" applyBorder="1" applyAlignment="1">
      <alignment horizontal="centerContinuous"/>
    </xf>
    <xf numFmtId="176" fontId="45" fillId="4" borderId="57" xfId="6" applyNumberFormat="1" applyFont="1" applyFill="1" applyBorder="1" applyAlignment="1">
      <alignment horizontal="right"/>
    </xf>
    <xf numFmtId="176" fontId="45" fillId="4" borderId="2" xfId="6" applyNumberFormat="1" applyFont="1" applyFill="1" applyBorder="1" applyAlignment="1">
      <alignment horizontal="right"/>
    </xf>
    <xf numFmtId="176" fontId="45" fillId="4" borderId="3" xfId="6" applyNumberFormat="1" applyFont="1" applyFill="1" applyBorder="1" applyAlignment="1">
      <alignment horizontal="right"/>
    </xf>
    <xf numFmtId="38" fontId="85" fillId="4" borderId="0" xfId="6" applyNumberFormat="1" applyFont="1" applyFill="1" applyBorder="1" applyAlignment="1">
      <alignment horizontal="right"/>
    </xf>
    <xf numFmtId="38" fontId="12" fillId="5" borderId="25" xfId="6" applyNumberFormat="1" applyFont="1" applyFill="1" applyBorder="1" applyAlignment="1">
      <alignment vertical="center"/>
    </xf>
    <xf numFmtId="38" fontId="12" fillId="0" borderId="0" xfId="6" applyNumberFormat="1" applyFont="1" applyFill="1" applyBorder="1" applyAlignment="1">
      <alignment vertical="center"/>
    </xf>
    <xf numFmtId="176" fontId="12" fillId="0" borderId="0" xfId="6" applyNumberFormat="1" applyFont="1" applyFill="1" applyBorder="1" applyAlignment="1"/>
    <xf numFmtId="38" fontId="12" fillId="7" borderId="25" xfId="6" applyNumberFormat="1" applyFont="1" applyFill="1" applyBorder="1" applyAlignment="1">
      <alignment vertical="center"/>
    </xf>
    <xf numFmtId="20" fontId="23" fillId="0" borderId="0" xfId="2" applyNumberFormat="1" applyFont="1" applyAlignment="1"/>
    <xf numFmtId="0" fontId="36" fillId="0" borderId="0" xfId="4" applyFont="1"/>
    <xf numFmtId="0" fontId="13" fillId="0" borderId="0" xfId="4" applyFont="1"/>
    <xf numFmtId="0" fontId="5" fillId="0" borderId="0" xfId="4"/>
    <xf numFmtId="0" fontId="77" fillId="0" borderId="0" xfId="6" applyFont="1" applyFill="1" applyBorder="1" applyAlignment="1"/>
    <xf numFmtId="0" fontId="35" fillId="0" borderId="0" xfId="4" applyFont="1" applyAlignment="1">
      <alignment horizontal="right"/>
    </xf>
    <xf numFmtId="14" fontId="35" fillId="0" borderId="0" xfId="4" applyNumberFormat="1" applyFont="1" applyAlignment="1">
      <alignment horizontal="left"/>
    </xf>
    <xf numFmtId="0" fontId="35" fillId="0" borderId="0" xfId="4" applyFont="1" applyAlignment="1">
      <alignment horizontal="centerContinuous"/>
    </xf>
    <xf numFmtId="0" fontId="13" fillId="0" borderId="0" xfId="4" applyFont="1" applyBorder="1"/>
    <xf numFmtId="0" fontId="134" fillId="0" borderId="0" xfId="6" applyFont="1" applyFill="1" applyBorder="1" applyAlignment="1">
      <alignment horizontal="center"/>
    </xf>
    <xf numFmtId="0" fontId="134" fillId="0" borderId="0" xfId="6" applyFont="1" applyFill="1" applyBorder="1" applyAlignment="1"/>
    <xf numFmtId="0" fontId="135" fillId="0" borderId="0" xfId="6" applyFont="1" applyFill="1" applyBorder="1" applyAlignment="1">
      <alignment horizontal="right"/>
    </xf>
    <xf numFmtId="0" fontId="65" fillId="0" borderId="0" xfId="6" applyFont="1" applyFill="1" applyBorder="1" applyAlignment="1"/>
    <xf numFmtId="0" fontId="65" fillId="0" borderId="0" xfId="6" applyFont="1" applyFill="1" applyBorder="1" applyAlignment="1">
      <alignment horizontal="right"/>
    </xf>
    <xf numFmtId="37" fontId="86" fillId="0" borderId="0" xfId="6" applyNumberFormat="1" applyFont="1" applyFill="1" applyBorder="1" applyAlignment="1"/>
    <xf numFmtId="37" fontId="87" fillId="0" borderId="0" xfId="6" applyNumberFormat="1" applyFont="1" applyFill="1" applyBorder="1" applyAlignment="1">
      <alignment horizontal="right"/>
    </xf>
    <xf numFmtId="37" fontId="87" fillId="0" borderId="0" xfId="6" applyNumberFormat="1" applyFont="1" applyFill="1" applyBorder="1" applyAlignment="1"/>
    <xf numFmtId="20" fontId="87" fillId="0" borderId="0" xfId="6" applyNumberFormat="1" applyFont="1" applyFill="1" applyBorder="1" applyAlignment="1">
      <alignment vertical="top"/>
    </xf>
    <xf numFmtId="0" fontId="87" fillId="0" borderId="2" xfId="6" applyFont="1" applyFill="1" applyBorder="1" applyAlignment="1"/>
    <xf numFmtId="37" fontId="87" fillId="0" borderId="2" xfId="6" applyNumberFormat="1" applyFont="1" applyFill="1" applyBorder="1" applyAlignment="1"/>
    <xf numFmtId="0" fontId="12" fillId="0" borderId="2" xfId="6" applyFont="1" applyFill="1" applyBorder="1" applyAlignment="1"/>
    <xf numFmtId="182" fontId="18" fillId="8" borderId="15" xfId="11" applyNumberFormat="1" applyFont="1" applyFill="1" applyBorder="1" applyAlignment="1">
      <alignment vertical="center"/>
    </xf>
    <xf numFmtId="182" fontId="18" fillId="2" borderId="15" xfId="11" applyNumberFormat="1" applyFont="1" applyFill="1" applyBorder="1" applyAlignment="1">
      <alignment vertical="center"/>
    </xf>
    <xf numFmtId="182" fontId="21" fillId="0" borderId="62" xfId="11" applyNumberFormat="1" applyFont="1" applyFill="1" applyBorder="1" applyAlignment="1">
      <alignment vertical="center"/>
    </xf>
    <xf numFmtId="182" fontId="21" fillId="0" borderId="62" xfId="11" applyNumberFormat="1" applyFont="1" applyFill="1" applyBorder="1" applyAlignment="1" applyProtection="1">
      <alignment vertical="center"/>
      <protection locked="0"/>
    </xf>
    <xf numFmtId="182" fontId="21" fillId="0" borderId="61" xfId="11" applyNumberFormat="1" applyFont="1" applyFill="1" applyBorder="1" applyAlignment="1">
      <alignment vertical="center" wrapText="1"/>
    </xf>
    <xf numFmtId="182" fontId="21" fillId="0" borderId="61" xfId="11" applyNumberFormat="1" applyFont="1" applyFill="1" applyBorder="1" applyAlignment="1" applyProtection="1">
      <alignment vertical="center"/>
      <protection locked="0"/>
    </xf>
    <xf numFmtId="182" fontId="21" fillId="0" borderId="63" xfId="11" applyNumberFormat="1" applyFont="1" applyFill="1" applyBorder="1" applyAlignment="1">
      <alignment vertical="center"/>
    </xf>
    <xf numFmtId="182" fontId="21" fillId="0" borderId="63" xfId="11" applyNumberFormat="1" applyFont="1" applyFill="1" applyBorder="1" applyAlignment="1" applyProtection="1">
      <alignment vertical="center"/>
      <protection locked="0"/>
    </xf>
    <xf numFmtId="182" fontId="21" fillId="0" borderId="4" xfId="11" applyNumberFormat="1" applyFont="1" applyFill="1" applyBorder="1" applyAlignment="1">
      <alignment vertical="center"/>
    </xf>
    <xf numFmtId="182" fontId="21" fillId="0" borderId="4" xfId="11" applyNumberFormat="1" applyFont="1" applyFill="1" applyBorder="1" applyAlignment="1" applyProtection="1">
      <alignment vertical="center"/>
      <protection locked="0"/>
    </xf>
    <xf numFmtId="182" fontId="7" fillId="2" borderId="15" xfId="11" applyNumberFormat="1" applyFont="1" applyFill="1" applyBorder="1" applyAlignment="1">
      <alignment vertical="center"/>
    </xf>
    <xf numFmtId="182" fontId="21" fillId="8" borderId="4" xfId="11" applyNumberFormat="1" applyFont="1" applyFill="1" applyBorder="1" applyAlignment="1">
      <alignment vertical="center"/>
    </xf>
    <xf numFmtId="182" fontId="21" fillId="0" borderId="61" xfId="11" applyNumberFormat="1" applyFont="1" applyFill="1" applyBorder="1" applyAlignment="1">
      <alignment vertical="center"/>
    </xf>
    <xf numFmtId="182" fontId="21" fillId="0" borderId="0" xfId="11" applyNumberFormat="1" applyFont="1" applyFill="1" applyBorder="1" applyAlignment="1">
      <alignment vertical="center"/>
    </xf>
    <xf numFmtId="182" fontId="21" fillId="0" borderId="62" xfId="11" applyNumberFormat="1" applyFont="1" applyFill="1" applyBorder="1" applyAlignment="1">
      <alignment vertical="center" wrapText="1"/>
    </xf>
    <xf numFmtId="182" fontId="21" fillId="0" borderId="63" xfId="11" applyNumberFormat="1" applyFont="1" applyFill="1" applyBorder="1" applyAlignment="1">
      <alignment vertical="center" wrapText="1"/>
    </xf>
    <xf numFmtId="182" fontId="21" fillId="0" borderId="62" xfId="11" applyNumberFormat="1" applyFont="1" applyFill="1" applyBorder="1" applyAlignment="1" applyProtection="1">
      <alignment horizontal="right" vertical="center"/>
      <protection locked="0"/>
    </xf>
    <xf numFmtId="182" fontId="21" fillId="0" borderId="63" xfId="11" applyNumberFormat="1" applyFont="1" applyFill="1" applyBorder="1" applyAlignment="1" applyProtection="1">
      <alignment horizontal="right" vertical="center"/>
      <protection locked="0"/>
    </xf>
    <xf numFmtId="182" fontId="21" fillId="0" borderId="4" xfId="11" applyNumberFormat="1" applyFont="1" applyFill="1" applyBorder="1" applyAlignment="1">
      <alignment vertical="top"/>
    </xf>
    <xf numFmtId="182" fontId="21" fillId="0" borderId="4" xfId="11" applyNumberFormat="1" applyFont="1" applyFill="1" applyBorder="1" applyAlignment="1" applyProtection="1">
      <alignment vertical="top"/>
      <protection locked="0"/>
    </xf>
    <xf numFmtId="167" fontId="18" fillId="2" borderId="15" xfId="11" applyNumberFormat="1" applyFont="1" applyFill="1" applyBorder="1" applyAlignment="1">
      <alignment vertical="center"/>
    </xf>
    <xf numFmtId="167" fontId="21" fillId="0" borderId="61" xfId="11" applyNumberFormat="1" applyFont="1" applyFill="1" applyBorder="1" applyAlignment="1" applyProtection="1">
      <alignment vertical="center"/>
      <protection locked="0"/>
    </xf>
    <xf numFmtId="167" fontId="21" fillId="0" borderId="62" xfId="11" applyNumberFormat="1" applyFont="1" applyFill="1" applyBorder="1" applyAlignment="1">
      <alignment vertical="center"/>
    </xf>
    <xf numFmtId="167" fontId="21" fillId="0" borderId="62" xfId="11" applyNumberFormat="1" applyFont="1" applyFill="1" applyBorder="1" applyAlignment="1" applyProtection="1">
      <alignment vertical="center"/>
      <protection locked="0"/>
    </xf>
    <xf numFmtId="167" fontId="21" fillId="0" borderId="63" xfId="11" applyNumberFormat="1" applyFont="1" applyFill="1" applyBorder="1" applyAlignment="1">
      <alignment vertical="center"/>
    </xf>
    <xf numFmtId="167" fontId="21" fillId="0" borderId="63" xfId="11" applyNumberFormat="1" applyFont="1" applyFill="1" applyBorder="1" applyAlignment="1" applyProtection="1">
      <alignment vertical="center"/>
      <protection locked="0"/>
    </xf>
    <xf numFmtId="167" fontId="7" fillId="2" borderId="15" xfId="11" applyNumberFormat="1" applyFont="1" applyFill="1" applyBorder="1" applyAlignment="1">
      <alignment vertical="center"/>
    </xf>
    <xf numFmtId="167" fontId="21" fillId="0" borderId="61" xfId="11" applyNumberFormat="1" applyFont="1" applyFill="1" applyBorder="1" applyAlignment="1">
      <alignment vertical="center"/>
    </xf>
    <xf numFmtId="182" fontId="18" fillId="2" borderId="15" xfId="11" applyNumberFormat="1" applyFont="1" applyFill="1" applyBorder="1" applyAlignment="1">
      <alignment horizontal="right" vertical="center"/>
    </xf>
    <xf numFmtId="182" fontId="21" fillId="0" borderId="62" xfId="11" applyNumberFormat="1" applyFont="1" applyFill="1" applyBorder="1" applyAlignment="1" applyProtection="1">
      <alignment horizontal="right" vertical="center" wrapText="1"/>
      <protection locked="0"/>
    </xf>
    <xf numFmtId="182" fontId="21" fillId="0" borderId="63" xfId="11" applyNumberFormat="1" applyFont="1" applyFill="1" applyBorder="1" applyAlignment="1" applyProtection="1">
      <alignment horizontal="right" vertical="center" wrapText="1"/>
      <protection locked="0"/>
    </xf>
    <xf numFmtId="182" fontId="18" fillId="2" borderId="15" xfId="11" applyNumberFormat="1" applyFont="1" applyFill="1" applyBorder="1" applyAlignment="1">
      <alignment horizontal="right" vertical="center" wrapText="1"/>
    </xf>
    <xf numFmtId="182" fontId="29" fillId="0" borderId="61" xfId="11" applyNumberFormat="1" applyFont="1" applyFill="1" applyBorder="1" applyAlignment="1" applyProtection="1">
      <alignment vertical="center"/>
      <protection locked="0"/>
    </xf>
    <xf numFmtId="182" fontId="21" fillId="2" borderId="4" xfId="11" applyNumberFormat="1" applyFont="1" applyFill="1" applyBorder="1" applyAlignment="1" applyProtection="1">
      <alignment vertical="center"/>
      <protection locked="0"/>
    </xf>
    <xf numFmtId="167" fontId="21" fillId="0" borderId="4" xfId="11" applyNumberFormat="1" applyFont="1" applyFill="1" applyBorder="1" applyAlignment="1" applyProtection="1">
      <alignment vertical="center"/>
      <protection locked="0"/>
    </xf>
    <xf numFmtId="167" fontId="31" fillId="0" borderId="62" xfId="11" applyNumberFormat="1" applyFont="1" applyFill="1" applyBorder="1" applyAlignment="1">
      <alignment vertical="center"/>
    </xf>
    <xf numFmtId="167" fontId="21" fillId="0" borderId="62" xfId="11" applyNumberFormat="1" applyFont="1" applyFill="1" applyBorder="1" applyAlignment="1">
      <alignment vertical="center" wrapText="1"/>
    </xf>
    <xf numFmtId="167" fontId="7" fillId="2" borderId="15" xfId="11" applyNumberFormat="1" applyFont="1" applyFill="1" applyBorder="1" applyAlignment="1" applyProtection="1">
      <alignment vertical="center"/>
    </xf>
    <xf numFmtId="182" fontId="21" fillId="0" borderId="62" xfId="11" applyNumberFormat="1" applyFont="1" applyFill="1" applyBorder="1" applyAlignment="1" applyProtection="1">
      <alignment vertical="center"/>
    </xf>
    <xf numFmtId="182" fontId="21" fillId="8" borderId="66" xfId="11" applyNumberFormat="1" applyFont="1" applyFill="1" applyBorder="1" applyAlignment="1">
      <alignment vertical="center"/>
    </xf>
    <xf numFmtId="182" fontId="21" fillId="0" borderId="67" xfId="11" applyNumberFormat="1" applyFont="1" applyFill="1" applyBorder="1" applyAlignment="1">
      <alignment vertical="center"/>
    </xf>
    <xf numFmtId="182" fontId="21" fillId="0" borderId="67" xfId="11" applyNumberFormat="1" applyFont="1" applyFill="1" applyBorder="1" applyAlignment="1" applyProtection="1">
      <alignment vertical="center"/>
    </xf>
    <xf numFmtId="177" fontId="1" fillId="2" borderId="0" xfId="11" applyNumberFormat="1" applyFont="1" applyFill="1"/>
    <xf numFmtId="177" fontId="13" fillId="2" borderId="0" xfId="11" applyNumberFormat="1" applyFont="1" applyFill="1"/>
    <xf numFmtId="177" fontId="2" fillId="2" borderId="0" xfId="11" applyNumberFormat="1" applyFont="1" applyFill="1"/>
    <xf numFmtId="177" fontId="3" fillId="2" borderId="0" xfId="11" applyNumberFormat="1" applyFont="1" applyFill="1"/>
    <xf numFmtId="167" fontId="73" fillId="0" borderId="10" xfId="10" applyNumberFormat="1" applyFont="1" applyFill="1" applyBorder="1" applyAlignment="1">
      <alignment vertical="center"/>
    </xf>
    <xf numFmtId="167" fontId="73" fillId="0" borderId="15" xfId="10" applyNumberFormat="1" applyFont="1" applyFill="1" applyBorder="1" applyAlignment="1">
      <alignment vertical="center"/>
    </xf>
    <xf numFmtId="167" fontId="73" fillId="0" borderId="16" xfId="10" applyNumberFormat="1" applyFont="1" applyFill="1" applyBorder="1" applyAlignment="1">
      <alignment vertical="center"/>
    </xf>
    <xf numFmtId="177" fontId="22" fillId="2" borderId="0" xfId="11" applyNumberFormat="1" applyFont="1" applyFill="1"/>
    <xf numFmtId="177" fontId="29" fillId="2" borderId="0" xfId="11" applyNumberFormat="1" applyFont="1" applyFill="1"/>
    <xf numFmtId="0" fontId="29" fillId="0" borderId="6" xfId="10" applyFont="1" applyFill="1" applyBorder="1" applyAlignment="1">
      <alignment vertical="center"/>
    </xf>
    <xf numFmtId="177" fontId="13" fillId="5" borderId="53" xfId="11" applyNumberFormat="1" applyFont="1" applyFill="1" applyBorder="1"/>
    <xf numFmtId="167" fontId="29" fillId="0" borderId="53" xfId="10" applyNumberFormat="1" applyFont="1" applyFill="1" applyBorder="1" applyAlignment="1">
      <alignment vertical="center"/>
    </xf>
    <xf numFmtId="0" fontId="136" fillId="0" borderId="0" xfId="10" applyFont="1" applyFill="1"/>
    <xf numFmtId="0" fontId="137" fillId="0" borderId="0" xfId="10" applyFont="1" applyFill="1"/>
    <xf numFmtId="0" fontId="137" fillId="0" borderId="0" xfId="10" quotePrefix="1" applyFont="1" applyFill="1"/>
    <xf numFmtId="0" fontId="13" fillId="3" borderId="6" xfId="11" applyFont="1" applyFill="1" applyBorder="1" applyAlignment="1">
      <alignment vertical="center"/>
    </xf>
    <xf numFmtId="0" fontId="8" fillId="0" borderId="0" xfId="10" applyFont="1" applyFill="1" applyBorder="1" applyAlignment="1">
      <alignment horizontal="right" vertical="center"/>
    </xf>
    <xf numFmtId="0" fontId="13" fillId="0" borderId="0" xfId="10" applyFont="1" applyAlignment="1">
      <alignment vertical="center" wrapText="1"/>
    </xf>
    <xf numFmtId="0" fontId="22" fillId="0" borderId="0" xfId="10" applyFont="1" applyFill="1" applyBorder="1" applyAlignment="1">
      <alignment vertical="center"/>
    </xf>
    <xf numFmtId="175" fontId="36" fillId="3" borderId="1" xfId="8" applyNumberFormat="1" applyFont="1" applyFill="1" applyBorder="1" applyAlignment="1">
      <alignment horizontal="center"/>
    </xf>
    <xf numFmtId="0" fontId="44" fillId="0" borderId="68" xfId="8" applyFont="1" applyFill="1" applyBorder="1" applyAlignment="1">
      <alignment horizontal="center" vertical="center"/>
    </xf>
    <xf numFmtId="0" fontId="45" fillId="0" borderId="56" xfId="8" applyFont="1" applyFill="1" applyBorder="1" applyAlignment="1">
      <alignment vertical="center"/>
    </xf>
    <xf numFmtId="38" fontId="36" fillId="0" borderId="56" xfId="8" applyNumberFormat="1" applyFont="1" applyBorder="1" applyAlignment="1">
      <alignment horizontal="center"/>
    </xf>
    <xf numFmtId="38" fontId="36" fillId="0" borderId="69" xfId="8" applyNumberFormat="1" applyFont="1" applyBorder="1" applyAlignment="1">
      <alignment horizontal="center"/>
    </xf>
    <xf numFmtId="0" fontId="36" fillId="0" borderId="62" xfId="8" applyFont="1" applyBorder="1"/>
    <xf numFmtId="0" fontId="36" fillId="0" borderId="70" xfId="8" applyFont="1" applyBorder="1"/>
    <xf numFmtId="0" fontId="45" fillId="0" borderId="17" xfId="6" applyFont="1" applyFill="1" applyBorder="1" applyAlignment="1">
      <alignment vertical="top"/>
    </xf>
    <xf numFmtId="0" fontId="45" fillId="0" borderId="1" xfId="6" applyFont="1" applyFill="1" applyBorder="1" applyAlignment="1">
      <alignment vertical="top"/>
    </xf>
    <xf numFmtId="175" fontId="36" fillId="0" borderId="1" xfId="8" applyNumberFormat="1" applyFont="1" applyBorder="1" applyAlignment="1">
      <alignment horizontal="center" vertical="top"/>
    </xf>
    <xf numFmtId="175" fontId="36" fillId="0" borderId="18" xfId="8" applyNumberFormat="1" applyFont="1" applyBorder="1" applyAlignment="1">
      <alignment horizontal="center" vertical="top"/>
    </xf>
    <xf numFmtId="181" fontId="36" fillId="0" borderId="1" xfId="8" applyNumberFormat="1" applyFont="1" applyBorder="1" applyAlignment="1">
      <alignment horizontal="center" vertical="top"/>
    </xf>
    <xf numFmtId="181" fontId="36" fillId="3" borderId="1" xfId="8" applyNumberFormat="1" applyFont="1" applyFill="1" applyBorder="1" applyAlignment="1">
      <alignment horizontal="center"/>
    </xf>
    <xf numFmtId="0" fontId="36" fillId="0" borderId="9" xfId="9" applyFont="1" applyFill="1" applyBorder="1"/>
    <xf numFmtId="0" fontId="36" fillId="0" borderId="0" xfId="9" applyFont="1" applyBorder="1"/>
    <xf numFmtId="183" fontId="36" fillId="0" borderId="62" xfId="9" applyNumberFormat="1" applyFont="1" applyBorder="1" applyAlignment="1">
      <alignment horizontal="center"/>
    </xf>
    <xf numFmtId="183" fontId="36" fillId="0" borderId="70" xfId="9" applyNumberFormat="1" applyFont="1" applyBorder="1" applyAlignment="1">
      <alignment horizontal="center"/>
    </xf>
    <xf numFmtId="0" fontId="35" fillId="0" borderId="8" xfId="8" applyFont="1" applyFill="1" applyBorder="1" applyAlignment="1">
      <alignment horizontal="center" vertical="center"/>
    </xf>
    <xf numFmtId="0" fontId="35" fillId="0" borderId="8" xfId="8" applyFont="1" applyFill="1" applyBorder="1" applyAlignment="1">
      <alignment horizontal="right" vertical="top"/>
    </xf>
    <xf numFmtId="0" fontId="35" fillId="0" borderId="8" xfId="8" applyFont="1" applyFill="1" applyBorder="1" applyAlignment="1">
      <alignment vertical="top"/>
    </xf>
    <xf numFmtId="0" fontId="36" fillId="0" borderId="8" xfId="9" applyFont="1" applyBorder="1" applyAlignment="1"/>
    <xf numFmtId="0" fontId="41" fillId="0" borderId="71" xfId="8" applyFont="1" applyFill="1" applyBorder="1" applyAlignment="1">
      <alignment vertical="top"/>
    </xf>
    <xf numFmtId="0" fontId="36" fillId="0" borderId="9" xfId="8" applyFont="1" applyBorder="1"/>
    <xf numFmtId="0" fontId="40" fillId="0" borderId="17" xfId="9" applyFont="1" applyBorder="1" applyAlignment="1">
      <alignment horizontal="center" vertical="center"/>
    </xf>
    <xf numFmtId="165" fontId="136" fillId="0" borderId="0" xfId="3" applyNumberFormat="1" applyFont="1" applyBorder="1" applyAlignment="1">
      <alignment horizontal="right"/>
    </xf>
    <xf numFmtId="165" fontId="9" fillId="0" borderId="0" xfId="3" applyNumberFormat="1" applyFont="1" applyBorder="1" applyAlignment="1">
      <alignment horizontal="right"/>
    </xf>
    <xf numFmtId="0" fontId="36" fillId="3" borderId="27" xfId="3" applyFont="1" applyFill="1" applyBorder="1"/>
    <xf numFmtId="0" fontId="13" fillId="3" borderId="27" xfId="3" applyFont="1" applyFill="1" applyBorder="1"/>
    <xf numFmtId="0" fontId="7" fillId="3" borderId="0" xfId="3" applyFont="1" applyFill="1" applyBorder="1" applyAlignment="1">
      <alignment horizontal="center"/>
    </xf>
    <xf numFmtId="167" fontId="13" fillId="3" borderId="30" xfId="3" applyNumberFormat="1" applyFont="1" applyFill="1" applyBorder="1" applyAlignment="1">
      <alignment horizontal="center"/>
    </xf>
    <xf numFmtId="0" fontId="13" fillId="3" borderId="0" xfId="3" applyFont="1" applyFill="1" applyBorder="1"/>
    <xf numFmtId="0" fontId="13" fillId="3" borderId="36" xfId="3" applyFont="1" applyFill="1" applyBorder="1" applyAlignment="1">
      <alignment horizontal="center"/>
    </xf>
    <xf numFmtId="0" fontId="13" fillId="3" borderId="72" xfId="3" applyFont="1" applyFill="1" applyBorder="1" applyAlignment="1">
      <alignment horizontal="center"/>
    </xf>
    <xf numFmtId="0" fontId="13" fillId="3" borderId="27" xfId="3" applyFont="1" applyFill="1" applyBorder="1" applyAlignment="1"/>
    <xf numFmtId="173" fontId="13" fillId="3" borderId="30" xfId="3" applyNumberFormat="1" applyFont="1" applyFill="1" applyBorder="1" applyAlignment="1">
      <alignment horizontal="center"/>
    </xf>
    <xf numFmtId="171" fontId="13" fillId="3" borderId="30" xfId="3" applyNumberFormat="1" applyFont="1" applyFill="1" applyBorder="1" applyAlignment="1">
      <alignment horizontal="center"/>
    </xf>
    <xf numFmtId="171" fontId="13" fillId="3" borderId="49" xfId="3" applyNumberFormat="1" applyFont="1" applyFill="1" applyBorder="1" applyAlignment="1">
      <alignment horizontal="center"/>
    </xf>
    <xf numFmtId="0" fontId="86" fillId="3" borderId="27" xfId="8" applyFont="1" applyFill="1" applyBorder="1" applyAlignment="1">
      <alignment vertical="center"/>
    </xf>
    <xf numFmtId="0" fontId="13" fillId="3" borderId="35" xfId="3" applyFont="1" applyFill="1" applyBorder="1"/>
    <xf numFmtId="167" fontId="13" fillId="3" borderId="49" xfId="3" applyNumberFormat="1" applyFont="1" applyFill="1" applyBorder="1" applyAlignment="1">
      <alignment horizontal="center"/>
    </xf>
    <xf numFmtId="185" fontId="13" fillId="3" borderId="30" xfId="3" applyNumberFormat="1" applyFont="1" applyFill="1" applyBorder="1" applyAlignment="1">
      <alignment horizontal="center"/>
    </xf>
    <xf numFmtId="185" fontId="13" fillId="3" borderId="49" xfId="3" applyNumberFormat="1" applyFont="1" applyFill="1" applyBorder="1" applyAlignment="1">
      <alignment horizontal="center"/>
    </xf>
    <xf numFmtId="0" fontId="13" fillId="3" borderId="73" xfId="3" applyFont="1" applyFill="1" applyBorder="1"/>
    <xf numFmtId="0" fontId="13" fillId="3" borderId="74" xfId="3" applyFont="1" applyFill="1" applyBorder="1"/>
    <xf numFmtId="4" fontId="13" fillId="3" borderId="75" xfId="3" applyNumberFormat="1" applyFont="1" applyFill="1" applyBorder="1" applyAlignment="1">
      <alignment horizontal="center"/>
    </xf>
    <xf numFmtId="185" fontId="13" fillId="3" borderId="76" xfId="3" applyNumberFormat="1" applyFont="1" applyFill="1" applyBorder="1" applyAlignment="1">
      <alignment horizontal="center"/>
    </xf>
    <xf numFmtId="185" fontId="13" fillId="3" borderId="77" xfId="3" applyNumberFormat="1" applyFont="1" applyFill="1" applyBorder="1" applyAlignment="1">
      <alignment horizontal="center"/>
    </xf>
    <xf numFmtId="0" fontId="36" fillId="3" borderId="36" xfId="3" applyFont="1" applyFill="1" applyBorder="1"/>
    <xf numFmtId="0" fontId="36" fillId="3" borderId="35" xfId="3" applyFont="1" applyFill="1" applyBorder="1"/>
    <xf numFmtId="0" fontId="36" fillId="0" borderId="50" xfId="3" applyFont="1" applyFill="1" applyBorder="1"/>
    <xf numFmtId="176" fontId="43" fillId="2" borderId="0" xfId="6" applyNumberFormat="1" applyFont="1" applyFill="1" applyBorder="1" applyAlignment="1">
      <alignment horizontal="right"/>
    </xf>
    <xf numFmtId="176" fontId="43" fillId="2" borderId="24" xfId="6" applyNumberFormat="1" applyFont="1" applyFill="1" applyBorder="1" applyAlignment="1">
      <alignment horizontal="right"/>
    </xf>
    <xf numFmtId="176" fontId="43" fillId="2" borderId="1" xfId="6" applyNumberFormat="1" applyFont="1" applyFill="1" applyBorder="1" applyAlignment="1">
      <alignment horizontal="right"/>
    </xf>
    <xf numFmtId="175" fontId="45" fillId="2" borderId="55" xfId="6" applyNumberFormat="1" applyFont="1" applyFill="1" applyBorder="1" applyAlignment="1">
      <alignment horizontal="right"/>
    </xf>
    <xf numFmtId="175" fontId="45" fillId="2" borderId="11" xfId="6" applyNumberFormat="1" applyFont="1" applyFill="1" applyBorder="1" applyAlignment="1">
      <alignment horizontal="right"/>
    </xf>
    <xf numFmtId="175" fontId="45" fillId="2" borderId="56" xfId="6" applyNumberFormat="1" applyFont="1" applyFill="1" applyBorder="1" applyAlignment="1">
      <alignment horizontal="right"/>
    </xf>
    <xf numFmtId="182" fontId="22" fillId="0" borderId="62" xfId="11" applyNumberFormat="1" applyFont="1" applyFill="1" applyBorder="1" applyAlignment="1" applyProtection="1">
      <alignment vertical="center"/>
      <protection locked="0"/>
    </xf>
    <xf numFmtId="0" fontId="13" fillId="0" borderId="0" xfId="10" applyFont="1" applyAlignment="1">
      <alignment wrapText="1"/>
    </xf>
    <xf numFmtId="166" fontId="13" fillId="3" borderId="36" xfId="3" applyNumberFormat="1" applyFont="1" applyFill="1" applyBorder="1" applyAlignment="1">
      <alignment horizontal="center"/>
    </xf>
    <xf numFmtId="166" fontId="13" fillId="3" borderId="72" xfId="3" applyNumberFormat="1" applyFont="1" applyFill="1" applyBorder="1" applyAlignment="1">
      <alignment horizontal="center"/>
    </xf>
    <xf numFmtId="166" fontId="13" fillId="3" borderId="30" xfId="3" applyNumberFormat="1" applyFont="1" applyFill="1" applyBorder="1" applyAlignment="1">
      <alignment horizontal="center"/>
    </xf>
    <xf numFmtId="166" fontId="13" fillId="3" borderId="49" xfId="3" applyNumberFormat="1" applyFont="1" applyFill="1" applyBorder="1" applyAlignment="1">
      <alignment horizontal="center"/>
    </xf>
    <xf numFmtId="9" fontId="13" fillId="3" borderId="30" xfId="3" applyNumberFormat="1" applyFont="1" applyFill="1" applyBorder="1" applyAlignment="1">
      <alignment horizontal="center"/>
    </xf>
    <xf numFmtId="9" fontId="13" fillId="3" borderId="49" xfId="3" applyNumberFormat="1" applyFont="1" applyFill="1" applyBorder="1" applyAlignment="1">
      <alignment horizontal="center"/>
    </xf>
    <xf numFmtId="172" fontId="13" fillId="3" borderId="30" xfId="3" applyNumberFormat="1" applyFont="1" applyFill="1" applyBorder="1" applyAlignment="1">
      <alignment horizontal="center"/>
    </xf>
    <xf numFmtId="165" fontId="13" fillId="3" borderId="30" xfId="3" applyNumberFormat="1" applyFont="1" applyFill="1" applyBorder="1" applyAlignment="1">
      <alignment horizontal="center"/>
    </xf>
    <xf numFmtId="165" fontId="13" fillId="3" borderId="49" xfId="3" applyNumberFormat="1" applyFont="1" applyFill="1" applyBorder="1" applyAlignment="1">
      <alignment horizontal="center"/>
    </xf>
    <xf numFmtId="0" fontId="9" fillId="0" borderId="0" xfId="10" applyFont="1" applyAlignment="1">
      <alignment wrapText="1"/>
    </xf>
    <xf numFmtId="3" fontId="36" fillId="0" borderId="1" xfId="8" applyNumberFormat="1" applyFont="1" applyBorder="1" applyAlignment="1">
      <alignment horizontal="center"/>
    </xf>
    <xf numFmtId="3" fontId="36" fillId="0" borderId="18" xfId="8" applyNumberFormat="1" applyFont="1" applyBorder="1" applyAlignment="1">
      <alignment horizontal="center"/>
    </xf>
    <xf numFmtId="167" fontId="36" fillId="0" borderId="1" xfId="8" applyNumberFormat="1" applyFont="1" applyBorder="1" applyAlignment="1">
      <alignment horizontal="center"/>
    </xf>
    <xf numFmtId="167" fontId="36" fillId="0" borderId="18" xfId="8" applyNumberFormat="1" applyFont="1" applyBorder="1" applyAlignment="1">
      <alignment horizontal="center"/>
    </xf>
    <xf numFmtId="170" fontId="36" fillId="3" borderId="1" xfId="8" applyNumberFormat="1" applyFont="1" applyFill="1" applyBorder="1" applyAlignment="1">
      <alignment horizontal="center"/>
    </xf>
    <xf numFmtId="170" fontId="36" fillId="0" borderId="1" xfId="8" applyNumberFormat="1" applyFont="1" applyBorder="1" applyAlignment="1">
      <alignment horizontal="center"/>
    </xf>
    <xf numFmtId="170" fontId="36" fillId="0" borderId="18" xfId="8" applyNumberFormat="1" applyFont="1" applyBorder="1" applyAlignment="1">
      <alignment horizontal="center"/>
    </xf>
    <xf numFmtId="176" fontId="105" fillId="0" borderId="24" xfId="6" applyNumberFormat="1" applyFont="1" applyFill="1" applyBorder="1" applyAlignment="1"/>
    <xf numFmtId="187" fontId="16" fillId="2" borderId="4" xfId="10" applyNumberFormat="1" applyFont="1" applyFill="1" applyBorder="1" applyAlignment="1">
      <alignment horizontal="center" vertical="center"/>
    </xf>
    <xf numFmtId="0" fontId="60" fillId="3" borderId="35" xfId="3" applyFont="1" applyFill="1" applyBorder="1" applyAlignment="1">
      <alignment horizontal="center"/>
    </xf>
    <xf numFmtId="167" fontId="60" fillId="3" borderId="30" xfId="3" applyNumberFormat="1" applyFont="1" applyFill="1" applyBorder="1" applyAlignment="1">
      <alignment horizontal="center"/>
    </xf>
    <xf numFmtId="167" fontId="60" fillId="3" borderId="49" xfId="3" applyNumberFormat="1" applyFont="1" applyFill="1" applyBorder="1" applyAlignment="1">
      <alignment horizontal="center"/>
    </xf>
    <xf numFmtId="0" fontId="45" fillId="0" borderId="11" xfId="6" applyFont="1" applyFill="1" applyBorder="1" applyAlignment="1">
      <alignment vertical="center"/>
    </xf>
    <xf numFmtId="16" fontId="45" fillId="0" borderId="11" xfId="6" applyNumberFormat="1" applyFont="1" applyFill="1" applyBorder="1" applyAlignment="1">
      <alignment vertical="center"/>
    </xf>
    <xf numFmtId="0" fontId="45" fillId="0" borderId="56" xfId="6" applyFont="1" applyFill="1" applyBorder="1" applyAlignment="1">
      <alignment vertical="center"/>
    </xf>
    <xf numFmtId="0" fontId="45" fillId="0" borderId="24" xfId="6" applyFont="1" applyFill="1" applyBorder="1"/>
    <xf numFmtId="193" fontId="12" fillId="0" borderId="0" xfId="6" applyNumberFormat="1" applyFont="1" applyFill="1" applyBorder="1" applyAlignment="1">
      <alignment horizontal="left" vertical="center"/>
    </xf>
    <xf numFmtId="20" fontId="12" fillId="0" borderId="0" xfId="6" applyNumberFormat="1" applyFont="1" applyFill="1" applyBorder="1" applyAlignment="1">
      <alignment horizontal="left" vertical="center"/>
    </xf>
    <xf numFmtId="3" fontId="13" fillId="0" borderId="0" xfId="10" applyNumberFormat="1" applyFont="1"/>
    <xf numFmtId="0" fontId="13" fillId="0" borderId="0" xfId="10" quotePrefix="1" applyFont="1"/>
    <xf numFmtId="0" fontId="139" fillId="2" borderId="6" xfId="10" applyFont="1" applyFill="1" applyBorder="1" applyAlignment="1">
      <alignment vertical="center"/>
    </xf>
    <xf numFmtId="167" fontId="18" fillId="2" borderId="15" xfId="10" applyNumberFormat="1" applyFont="1" applyFill="1" applyBorder="1" applyAlignment="1">
      <alignment vertical="center"/>
    </xf>
    <xf numFmtId="0" fontId="36" fillId="0" borderId="73" xfId="3" applyFont="1" applyBorder="1"/>
    <xf numFmtId="0" fontId="36" fillId="0" borderId="74" xfId="3" applyFont="1" applyBorder="1"/>
    <xf numFmtId="165" fontId="36" fillId="0" borderId="74" xfId="3" applyNumberFormat="1" applyFont="1" applyBorder="1"/>
    <xf numFmtId="0" fontId="36" fillId="3" borderId="47" xfId="3" applyFont="1" applyFill="1" applyBorder="1"/>
    <xf numFmtId="165" fontId="36" fillId="3" borderId="47" xfId="3" applyNumberFormat="1" applyFont="1" applyFill="1" applyBorder="1" applyAlignment="1">
      <alignment horizontal="center"/>
    </xf>
    <xf numFmtId="165" fontId="36" fillId="3" borderId="78" xfId="3" applyNumberFormat="1" applyFont="1" applyFill="1" applyBorder="1" applyAlignment="1">
      <alignment horizontal="center"/>
    </xf>
    <xf numFmtId="0" fontId="13" fillId="3" borderId="46" xfId="3" applyFont="1" applyFill="1" applyBorder="1"/>
    <xf numFmtId="0" fontId="9" fillId="0" borderId="47" xfId="3" applyFont="1" applyBorder="1" applyAlignment="1">
      <alignment horizontal="right"/>
    </xf>
    <xf numFmtId="49" fontId="36" fillId="0" borderId="73" xfId="3" applyNumberFormat="1" applyFont="1" applyBorder="1"/>
    <xf numFmtId="49" fontId="36" fillId="0" borderId="74" xfId="3" applyNumberFormat="1" applyFont="1" applyBorder="1"/>
    <xf numFmtId="0" fontId="37" fillId="0" borderId="74" xfId="3" applyFont="1" applyBorder="1"/>
    <xf numFmtId="175" fontId="36" fillId="0" borderId="70" xfId="8" applyNumberFormat="1" applyFont="1" applyBorder="1" applyAlignment="1">
      <alignment horizontal="center"/>
    </xf>
    <xf numFmtId="167" fontId="36" fillId="0" borderId="70" xfId="8" applyNumberFormat="1" applyFont="1" applyBorder="1" applyAlignment="1">
      <alignment horizontal="center"/>
    </xf>
    <xf numFmtId="175" fontId="36" fillId="0" borderId="63" xfId="8" applyNumberFormat="1" applyFont="1" applyBorder="1" applyAlignment="1">
      <alignment horizontal="center" vertical="top"/>
    </xf>
    <xf numFmtId="175" fontId="36" fillId="0" borderId="79" xfId="8" applyNumberFormat="1" applyFont="1" applyBorder="1" applyAlignment="1">
      <alignment horizontal="center" vertical="top"/>
    </xf>
    <xf numFmtId="0" fontId="36" fillId="0" borderId="70" xfId="9" applyFont="1" applyFill="1" applyBorder="1"/>
    <xf numFmtId="170" fontId="36" fillId="3" borderId="70" xfId="8" applyNumberFormat="1" applyFont="1" applyFill="1" applyBorder="1" applyAlignment="1">
      <alignment horizontal="center"/>
    </xf>
    <xf numFmtId="170" fontId="36" fillId="0" borderId="70" xfId="8" applyNumberFormat="1" applyFont="1" applyBorder="1" applyAlignment="1">
      <alignment horizontal="center"/>
    </xf>
    <xf numFmtId="0" fontId="36" fillId="0" borderId="27" xfId="3" applyFont="1" applyBorder="1" applyAlignment="1">
      <alignment horizontal="right"/>
    </xf>
    <xf numFmtId="0" fontId="35" fillId="0" borderId="44" xfId="3" applyFont="1" applyBorder="1"/>
    <xf numFmtId="172" fontId="35" fillId="0" borderId="80" xfId="3" applyNumberFormat="1" applyFont="1" applyBorder="1"/>
    <xf numFmtId="0" fontId="35" fillId="0" borderId="2" xfId="3" applyFont="1" applyFill="1" applyBorder="1" applyAlignment="1">
      <alignment horizontal="center" vertical="center"/>
    </xf>
    <xf numFmtId="0" fontId="36" fillId="0" borderId="2" xfId="3" applyFont="1" applyBorder="1" applyAlignment="1">
      <alignment horizontal="center" vertical="top"/>
    </xf>
    <xf numFmtId="14" fontId="36" fillId="0" borderId="2" xfId="3" applyNumberFormat="1" applyFont="1" applyBorder="1" applyAlignment="1">
      <alignment horizontal="center" vertical="top"/>
    </xf>
    <xf numFmtId="0" fontId="56" fillId="0" borderId="0" xfId="3" applyFont="1" applyFill="1" applyAlignment="1" applyProtection="1">
      <alignment horizontal="center"/>
      <protection locked="0"/>
    </xf>
    <xf numFmtId="0" fontId="56" fillId="0" borderId="0" xfId="3" applyFont="1" applyFill="1" applyAlignment="1">
      <alignment horizontal="center"/>
    </xf>
    <xf numFmtId="0" fontId="68" fillId="6" borderId="0" xfId="3" applyFont="1" applyFill="1" applyAlignment="1" applyProtection="1">
      <alignment horizontal="center"/>
      <protection locked="0"/>
    </xf>
    <xf numFmtId="0" fontId="44" fillId="0" borderId="54" xfId="3" applyFont="1" applyBorder="1" applyAlignment="1">
      <alignment horizontal="center" vertical="center"/>
    </xf>
    <xf numFmtId="0" fontId="35" fillId="0" borderId="54" xfId="3" applyFont="1" applyBorder="1" applyAlignment="1">
      <alignment horizontal="center" vertical="center"/>
    </xf>
    <xf numFmtId="0" fontId="38" fillId="0" borderId="54" xfId="3" applyFont="1" applyBorder="1" applyAlignment="1">
      <alignment horizontal="center" vertical="center"/>
    </xf>
    <xf numFmtId="1" fontId="38" fillId="0" borderId="30" xfId="3" applyNumberFormat="1" applyFont="1" applyBorder="1" applyAlignment="1">
      <alignment horizontal="center"/>
    </xf>
    <xf numFmtId="3" fontId="38" fillId="0" borderId="49" xfId="3" applyNumberFormat="1" applyFont="1" applyBorder="1" applyAlignment="1">
      <alignment horizontal="center"/>
    </xf>
    <xf numFmtId="167" fontId="35" fillId="2" borderId="33" xfId="3" applyNumberFormat="1" applyFont="1" applyFill="1" applyBorder="1" applyAlignment="1">
      <alignment horizontal="center"/>
    </xf>
    <xf numFmtId="167" fontId="35" fillId="2" borderId="81" xfId="3" applyNumberFormat="1" applyFont="1" applyFill="1" applyBorder="1" applyAlignment="1">
      <alignment horizontal="center"/>
    </xf>
    <xf numFmtId="182" fontId="36" fillId="0" borderId="30" xfId="3" applyNumberFormat="1" applyFont="1" applyFill="1" applyBorder="1" applyAlignment="1">
      <alignment horizontal="center"/>
    </xf>
    <xf numFmtId="182" fontId="36" fillId="0" borderId="49" xfId="3" applyNumberFormat="1" applyFont="1" applyFill="1" applyBorder="1" applyAlignment="1">
      <alignment horizontal="center"/>
    </xf>
    <xf numFmtId="167" fontId="36" fillId="0" borderId="30" xfId="3" applyNumberFormat="1" applyFont="1" applyFill="1" applyBorder="1" applyAlignment="1">
      <alignment horizontal="center"/>
    </xf>
    <xf numFmtId="167" fontId="36" fillId="0" borderId="49" xfId="3" applyNumberFormat="1" applyFont="1" applyFill="1" applyBorder="1" applyAlignment="1">
      <alignment horizontal="center"/>
    </xf>
    <xf numFmtId="167" fontId="36" fillId="0" borderId="34" xfId="3" applyNumberFormat="1" applyFont="1" applyFill="1" applyBorder="1" applyAlignment="1">
      <alignment horizontal="center"/>
    </xf>
    <xf numFmtId="167" fontId="36" fillId="0" borderId="30" xfId="3" applyNumberFormat="1" applyFont="1" applyBorder="1" applyAlignment="1">
      <alignment horizontal="center"/>
    </xf>
    <xf numFmtId="167" fontId="36" fillId="0" borderId="49" xfId="3" applyNumberFormat="1" applyFont="1" applyBorder="1" applyAlignment="1">
      <alignment horizontal="center"/>
    </xf>
    <xf numFmtId="182" fontId="35" fillId="0" borderId="33" xfId="3" applyNumberFormat="1" applyFont="1" applyFill="1" applyBorder="1" applyAlignment="1">
      <alignment horizontal="center"/>
    </xf>
    <xf numFmtId="182" fontId="35" fillId="0" borderId="81" xfId="3" applyNumberFormat="1" applyFont="1" applyFill="1" applyBorder="1" applyAlignment="1">
      <alignment horizontal="center"/>
    </xf>
    <xf numFmtId="182" fontId="35" fillId="0" borderId="30" xfId="3" applyNumberFormat="1" applyFont="1" applyBorder="1" applyAlignment="1">
      <alignment horizontal="center"/>
    </xf>
    <xf numFmtId="182" fontId="35" fillId="0" borderId="49" xfId="3" applyNumberFormat="1" applyFont="1" applyBorder="1" applyAlignment="1">
      <alignment horizontal="center"/>
    </xf>
    <xf numFmtId="182" fontId="35" fillId="2" borderId="33" xfId="3" applyNumberFormat="1" applyFont="1" applyFill="1" applyBorder="1" applyAlignment="1">
      <alignment horizontal="center"/>
    </xf>
    <xf numFmtId="182" fontId="35" fillId="2" borderId="81" xfId="3" applyNumberFormat="1" applyFont="1" applyFill="1" applyBorder="1" applyAlignment="1">
      <alignment horizontal="center"/>
    </xf>
    <xf numFmtId="182" fontId="36" fillId="0" borderId="52" xfId="3" applyNumberFormat="1" applyFont="1" applyBorder="1" applyAlignment="1">
      <alignment horizontal="center"/>
    </xf>
    <xf numFmtId="182" fontId="36" fillId="0" borderId="82" xfId="3" applyNumberFormat="1" applyFont="1" applyBorder="1" applyAlignment="1">
      <alignment horizontal="center"/>
    </xf>
    <xf numFmtId="184" fontId="36" fillId="0" borderId="30" xfId="3" applyNumberFormat="1" applyFont="1" applyFill="1" applyBorder="1" applyAlignment="1">
      <alignment horizontal="center"/>
    </xf>
    <xf numFmtId="184" fontId="36" fillId="0" borderId="49" xfId="3" applyNumberFormat="1" applyFont="1" applyFill="1" applyBorder="1" applyAlignment="1">
      <alignment horizontal="center"/>
    </xf>
    <xf numFmtId="182" fontId="35" fillId="0" borderId="43" xfId="3" applyNumberFormat="1" applyFont="1" applyBorder="1" applyAlignment="1">
      <alignment horizontal="center"/>
    </xf>
    <xf numFmtId="182" fontId="35" fillId="0" borderId="83" xfId="3" applyNumberFormat="1" applyFont="1" applyBorder="1" applyAlignment="1">
      <alignment horizontal="center"/>
    </xf>
    <xf numFmtId="182" fontId="36" fillId="0" borderId="30" xfId="3" applyNumberFormat="1" applyFont="1" applyBorder="1" applyAlignment="1">
      <alignment horizontal="center"/>
    </xf>
    <xf numFmtId="182" fontId="36" fillId="0" borderId="49" xfId="3" applyNumberFormat="1" applyFont="1" applyBorder="1" applyAlignment="1">
      <alignment horizontal="center"/>
    </xf>
    <xf numFmtId="182" fontId="35" fillId="2" borderId="40" xfId="3" applyNumberFormat="1" applyFont="1" applyFill="1" applyBorder="1" applyAlignment="1">
      <alignment horizontal="center"/>
    </xf>
    <xf numFmtId="182" fontId="35" fillId="2" borderId="84" xfId="3" applyNumberFormat="1" applyFont="1" applyFill="1" applyBorder="1" applyAlignment="1">
      <alignment horizontal="center"/>
    </xf>
    <xf numFmtId="182" fontId="36" fillId="0" borderId="34" xfId="3" applyNumberFormat="1" applyFont="1" applyFill="1" applyBorder="1" applyAlignment="1">
      <alignment horizontal="center"/>
    </xf>
    <xf numFmtId="167" fontId="36" fillId="0" borderId="80" xfId="3" applyNumberFormat="1" applyFont="1" applyBorder="1" applyAlignment="1">
      <alignment horizontal="center"/>
    </xf>
    <xf numFmtId="167" fontId="36" fillId="0" borderId="85" xfId="3" applyNumberFormat="1" applyFont="1" applyBorder="1" applyAlignment="1">
      <alignment horizontal="center"/>
    </xf>
    <xf numFmtId="167" fontId="36" fillId="0" borderId="72" xfId="3" applyNumberFormat="1" applyFont="1" applyBorder="1" applyAlignment="1">
      <alignment horizontal="center"/>
    </xf>
    <xf numFmtId="167" fontId="36" fillId="3" borderId="30" xfId="3" applyNumberFormat="1" applyFont="1" applyFill="1" applyBorder="1" applyAlignment="1">
      <alignment horizontal="center"/>
    </xf>
    <xf numFmtId="167" fontId="36" fillId="3" borderId="49" xfId="3" applyNumberFormat="1" applyFont="1" applyFill="1" applyBorder="1" applyAlignment="1">
      <alignment horizontal="center"/>
    </xf>
    <xf numFmtId="167" fontId="36" fillId="0" borderId="36" xfId="3" applyNumberFormat="1" applyFont="1" applyBorder="1" applyAlignment="1">
      <alignment horizontal="center"/>
    </xf>
    <xf numFmtId="167" fontId="36" fillId="3" borderId="36" xfId="3" applyNumberFormat="1" applyFont="1" applyFill="1" applyBorder="1" applyAlignment="1">
      <alignment horizontal="center"/>
    </xf>
    <xf numFmtId="167" fontId="36" fillId="3" borderId="72" xfId="3" applyNumberFormat="1" applyFont="1" applyFill="1" applyBorder="1" applyAlignment="1">
      <alignment horizontal="center"/>
    </xf>
    <xf numFmtId="167" fontId="36" fillId="0" borderId="36" xfId="3" applyNumberFormat="1" applyFont="1" applyFill="1" applyBorder="1" applyAlignment="1">
      <alignment horizontal="center"/>
    </xf>
    <xf numFmtId="167" fontId="36" fillId="3" borderId="0" xfId="3" applyNumberFormat="1" applyFont="1" applyFill="1" applyBorder="1" applyAlignment="1">
      <alignment horizontal="center"/>
    </xf>
    <xf numFmtId="167" fontId="35" fillId="2" borderId="32" xfId="3" applyNumberFormat="1" applyFont="1" applyFill="1" applyBorder="1" applyAlignment="1">
      <alignment horizontal="center"/>
    </xf>
    <xf numFmtId="0" fontId="13" fillId="0" borderId="36" xfId="3" applyFont="1" applyBorder="1" applyAlignment="1">
      <alignment horizontal="center"/>
    </xf>
    <xf numFmtId="182" fontId="13" fillId="0" borderId="36" xfId="3" applyNumberFormat="1" applyFont="1" applyBorder="1" applyAlignment="1">
      <alignment horizontal="center"/>
    </xf>
    <xf numFmtId="168" fontId="13" fillId="0" borderId="36" xfId="3" applyNumberFormat="1" applyFont="1" applyBorder="1" applyAlignment="1">
      <alignment horizontal="center"/>
    </xf>
    <xf numFmtId="168" fontId="13" fillId="0" borderId="72" xfId="3" applyNumberFormat="1" applyFont="1" applyBorder="1" applyAlignment="1">
      <alignment horizontal="center"/>
    </xf>
    <xf numFmtId="182" fontId="36" fillId="0" borderId="36" xfId="3" applyNumberFormat="1" applyFont="1" applyBorder="1" applyAlignment="1">
      <alignment horizontal="center"/>
    </xf>
    <xf numFmtId="168" fontId="36" fillId="0" borderId="36" xfId="3" applyNumberFormat="1" applyFont="1" applyBorder="1" applyAlignment="1">
      <alignment horizontal="center"/>
    </xf>
    <xf numFmtId="168" fontId="36" fillId="0" borderId="72" xfId="3" applyNumberFormat="1" applyFont="1" applyBorder="1" applyAlignment="1">
      <alignment horizontal="center"/>
    </xf>
    <xf numFmtId="0" fontId="36" fillId="0" borderId="28" xfId="3" applyFont="1" applyBorder="1" applyAlignment="1">
      <alignment horizontal="center"/>
    </xf>
    <xf numFmtId="0" fontId="36" fillId="0" borderId="29" xfId="3" applyFont="1" applyBorder="1" applyAlignment="1">
      <alignment horizontal="center"/>
    </xf>
    <xf numFmtId="0" fontId="13" fillId="0" borderId="72" xfId="3" applyFont="1" applyBorder="1" applyAlignment="1">
      <alignment horizontal="center"/>
    </xf>
    <xf numFmtId="167" fontId="9" fillId="0" borderId="47" xfId="3" applyNumberFormat="1" applyFont="1" applyBorder="1" applyAlignment="1">
      <alignment horizontal="center"/>
    </xf>
    <xf numFmtId="167" fontId="9" fillId="0" borderId="78" xfId="3" applyNumberFormat="1" applyFont="1" applyBorder="1" applyAlignment="1">
      <alignment horizontal="center"/>
    </xf>
    <xf numFmtId="167" fontId="9" fillId="0" borderId="0" xfId="3" applyNumberFormat="1" applyFont="1" applyBorder="1" applyAlignment="1">
      <alignment horizontal="center"/>
    </xf>
    <xf numFmtId="167" fontId="9" fillId="0" borderId="72" xfId="3" applyNumberFormat="1" applyFont="1" applyBorder="1" applyAlignment="1">
      <alignment horizontal="center"/>
    </xf>
    <xf numFmtId="167" fontId="136" fillId="0" borderId="0" xfId="3" applyNumberFormat="1" applyFont="1" applyBorder="1" applyAlignment="1">
      <alignment horizontal="center"/>
    </xf>
    <xf numFmtId="167" fontId="136" fillId="0" borderId="72" xfId="3" applyNumberFormat="1" applyFont="1" applyBorder="1" applyAlignment="1">
      <alignment horizontal="center"/>
    </xf>
    <xf numFmtId="0" fontId="36" fillId="0" borderId="0" xfId="3" applyFont="1" applyBorder="1" applyAlignment="1">
      <alignment horizontal="center"/>
    </xf>
    <xf numFmtId="165" fontId="36" fillId="0" borderId="0" xfId="3" applyNumberFormat="1" applyFont="1" applyBorder="1" applyAlignment="1">
      <alignment horizontal="center"/>
    </xf>
    <xf numFmtId="165" fontId="36" fillId="0" borderId="72" xfId="3" applyNumberFormat="1" applyFont="1" applyBorder="1" applyAlignment="1">
      <alignment horizontal="center"/>
    </xf>
    <xf numFmtId="0" fontId="37" fillId="0" borderId="74" xfId="3" applyFont="1" applyBorder="1" applyAlignment="1">
      <alignment horizontal="center"/>
    </xf>
    <xf numFmtId="167" fontId="61" fillId="0" borderId="74" xfId="3" applyNumberFormat="1" applyFont="1" applyFill="1" applyBorder="1" applyAlignment="1">
      <alignment horizontal="center"/>
    </xf>
    <xf numFmtId="167" fontId="61" fillId="0" borderId="86" xfId="3" applyNumberFormat="1" applyFont="1" applyFill="1" applyBorder="1" applyAlignment="1">
      <alignment horizontal="center"/>
    </xf>
    <xf numFmtId="0" fontId="36" fillId="0" borderId="0" xfId="3" applyFont="1" applyAlignment="1">
      <alignment horizontal="center"/>
    </xf>
    <xf numFmtId="0" fontId="50" fillId="0" borderId="2" xfId="3" applyFont="1" applyFill="1" applyBorder="1" applyAlignment="1">
      <alignment horizontal="center" vertical="top" wrapText="1"/>
    </xf>
    <xf numFmtId="0" fontId="51" fillId="0" borderId="2" xfId="3" applyFont="1" applyBorder="1" applyAlignment="1">
      <alignment horizontal="center" vertical="center"/>
    </xf>
    <xf numFmtId="0" fontId="36" fillId="0" borderId="2" xfId="3" applyFont="1" applyBorder="1" applyAlignment="1">
      <alignment horizontal="center" vertical="center"/>
    </xf>
    <xf numFmtId="0" fontId="55" fillId="0" borderId="0" xfId="6" applyFont="1" applyFill="1" applyBorder="1" applyAlignment="1">
      <alignment horizontal="center"/>
    </xf>
    <xf numFmtId="0" fontId="55" fillId="0" borderId="0" xfId="3" applyFont="1" applyFill="1" applyAlignment="1" applyProtection="1">
      <alignment horizontal="center"/>
      <protection locked="0"/>
    </xf>
    <xf numFmtId="0" fontId="57" fillId="0" borderId="0" xfId="6" applyFont="1" applyFill="1" applyBorder="1" applyAlignment="1">
      <alignment horizontal="center"/>
    </xf>
    <xf numFmtId="0" fontId="57" fillId="0" borderId="0" xfId="3" applyFont="1" applyFill="1" applyAlignment="1" applyProtection="1">
      <alignment horizontal="center"/>
      <protection locked="0"/>
    </xf>
    <xf numFmtId="182" fontId="35" fillId="0" borderId="34" xfId="3" applyNumberFormat="1" applyFont="1" applyBorder="1" applyAlignment="1">
      <alignment horizontal="center"/>
    </xf>
    <xf numFmtId="184" fontId="36" fillId="0" borderId="34" xfId="3" applyNumberFormat="1" applyFont="1" applyFill="1" applyBorder="1" applyAlignment="1">
      <alignment horizontal="center"/>
    </xf>
    <xf numFmtId="169" fontId="35" fillId="0" borderId="30" xfId="3" applyNumberFormat="1" applyFont="1" applyBorder="1" applyAlignment="1">
      <alignment horizontal="center"/>
    </xf>
    <xf numFmtId="169" fontId="35" fillId="0" borderId="34" xfId="3" applyNumberFormat="1" applyFont="1" applyBorder="1" applyAlignment="1">
      <alignment horizontal="center"/>
    </xf>
    <xf numFmtId="182" fontId="36" fillId="2" borderId="30" xfId="3" applyNumberFormat="1" applyFont="1" applyFill="1" applyBorder="1" applyAlignment="1">
      <alignment horizontal="center"/>
    </xf>
    <xf numFmtId="169" fontId="35" fillId="0" borderId="30" xfId="3" applyNumberFormat="1" applyFont="1" applyFill="1" applyBorder="1" applyAlignment="1">
      <alignment horizontal="center"/>
    </xf>
    <xf numFmtId="169" fontId="35" fillId="0" borderId="34" xfId="3" applyNumberFormat="1" applyFont="1" applyFill="1" applyBorder="1" applyAlignment="1">
      <alignment horizontal="center"/>
    </xf>
    <xf numFmtId="167" fontId="36" fillId="0" borderId="34" xfId="3" applyNumberFormat="1" applyFont="1" applyBorder="1" applyAlignment="1">
      <alignment horizontal="center"/>
    </xf>
    <xf numFmtId="182" fontId="36" fillId="0" borderId="43" xfId="3" applyNumberFormat="1" applyFont="1" applyFill="1" applyBorder="1" applyAlignment="1">
      <alignment horizontal="center"/>
    </xf>
    <xf numFmtId="167" fontId="35" fillId="0" borderId="30" xfId="3" applyNumberFormat="1" applyFont="1" applyFill="1" applyBorder="1" applyAlignment="1">
      <alignment horizontal="center"/>
    </xf>
    <xf numFmtId="172" fontId="36" fillId="2" borderId="30" xfId="3" applyNumberFormat="1" applyFont="1" applyFill="1" applyBorder="1" applyAlignment="1">
      <alignment horizontal="center"/>
    </xf>
    <xf numFmtId="172" fontId="35" fillId="0" borderId="80" xfId="3" applyNumberFormat="1" applyFont="1" applyBorder="1" applyAlignment="1">
      <alignment horizontal="center"/>
    </xf>
    <xf numFmtId="167" fontId="35" fillId="2" borderId="87" xfId="3" applyNumberFormat="1" applyFont="1" applyFill="1" applyBorder="1" applyAlignment="1">
      <alignment horizontal="center"/>
    </xf>
    <xf numFmtId="167" fontId="35" fillId="0" borderId="52" xfId="3" applyNumberFormat="1" applyFont="1" applyBorder="1" applyAlignment="1">
      <alignment horizontal="center"/>
    </xf>
    <xf numFmtId="167" fontId="35" fillId="0" borderId="82" xfId="3" applyNumberFormat="1" applyFont="1" applyBorder="1" applyAlignment="1">
      <alignment horizontal="center"/>
    </xf>
    <xf numFmtId="167" fontId="36" fillId="0" borderId="52" xfId="3" applyNumberFormat="1" applyFont="1" applyBorder="1" applyAlignment="1">
      <alignment horizontal="center"/>
    </xf>
    <xf numFmtId="167" fontId="35" fillId="0" borderId="34" xfId="3" applyNumberFormat="1" applyFont="1" applyBorder="1" applyAlignment="1">
      <alignment horizontal="center"/>
    </xf>
    <xf numFmtId="170" fontId="36" fillId="0" borderId="30" xfId="3" applyNumberFormat="1" applyFont="1" applyBorder="1" applyAlignment="1">
      <alignment horizontal="center"/>
    </xf>
    <xf numFmtId="170" fontId="36" fillId="0" borderId="49" xfId="3" applyNumberFormat="1" applyFont="1" applyBorder="1" applyAlignment="1">
      <alignment horizontal="center"/>
    </xf>
    <xf numFmtId="167" fontId="35" fillId="0" borderId="28" xfId="3" applyNumberFormat="1" applyFont="1" applyBorder="1" applyAlignment="1">
      <alignment horizontal="center"/>
    </xf>
    <xf numFmtId="167" fontId="35" fillId="0" borderId="48" xfId="3" applyNumberFormat="1" applyFont="1" applyBorder="1" applyAlignment="1">
      <alignment horizontal="center"/>
    </xf>
    <xf numFmtId="165" fontId="36" fillId="0" borderId="74" xfId="3" applyNumberFormat="1" applyFont="1" applyBorder="1" applyAlignment="1">
      <alignment horizontal="center"/>
    </xf>
    <xf numFmtId="165" fontId="36" fillId="0" borderId="86" xfId="3" applyNumberFormat="1" applyFont="1" applyBorder="1" applyAlignment="1">
      <alignment horizontal="center"/>
    </xf>
    <xf numFmtId="0" fontId="37" fillId="0" borderId="0" xfId="3" applyFont="1" applyBorder="1" applyAlignment="1">
      <alignment horizontal="center"/>
    </xf>
    <xf numFmtId="194" fontId="13" fillId="3" borderId="49" xfId="1" applyNumberFormat="1" applyFont="1" applyFill="1" applyBorder="1" applyAlignment="1">
      <alignment horizontal="center"/>
    </xf>
    <xf numFmtId="182" fontId="21" fillId="0" borderId="55" xfId="11" applyNumberFormat="1" applyFont="1" applyFill="1" applyBorder="1" applyAlignment="1" applyProtection="1">
      <alignment vertical="center"/>
      <protection locked="0"/>
    </xf>
    <xf numFmtId="182" fontId="21" fillId="0" borderId="56" xfId="11" applyNumberFormat="1" applyFont="1" applyFill="1" applyBorder="1" applyAlignment="1" applyProtection="1">
      <alignment vertical="center"/>
      <protection locked="0"/>
    </xf>
    <xf numFmtId="182" fontId="7" fillId="2" borderId="67" xfId="11" applyNumberFormat="1" applyFont="1" applyFill="1" applyBorder="1" applyAlignment="1">
      <alignment vertical="center"/>
    </xf>
    <xf numFmtId="182" fontId="21" fillId="0" borderId="67" xfId="11" applyNumberFormat="1" applyFont="1" applyFill="1" applyBorder="1" applyAlignment="1" applyProtection="1">
      <alignment vertical="center"/>
      <protection locked="0"/>
    </xf>
    <xf numFmtId="1" fontId="67" fillId="0" borderId="30" xfId="3" applyNumberFormat="1" applyFont="1" applyBorder="1" applyAlignment="1"/>
    <xf numFmtId="1" fontId="67" fillId="0" borderId="30" xfId="3" applyNumberFormat="1" applyFont="1" applyBorder="1" applyAlignment="1">
      <alignment horizontal="center"/>
    </xf>
    <xf numFmtId="187" fontId="17" fillId="2" borderId="4" xfId="10" applyNumberFormat="1" applyFont="1" applyFill="1" applyBorder="1" applyAlignment="1">
      <alignment horizontal="center" vertical="center"/>
    </xf>
    <xf numFmtId="182" fontId="21" fillId="0" borderId="4" xfId="11" applyNumberFormat="1" applyFont="1" applyFill="1" applyBorder="1" applyAlignment="1" applyProtection="1">
      <alignment vertical="center"/>
      <protection locked="0"/>
    </xf>
    <xf numFmtId="9" fontId="38" fillId="0" borderId="30" xfId="13" applyFont="1" applyBorder="1" applyAlignment="1">
      <alignment horizontal="center"/>
    </xf>
    <xf numFmtId="0" fontId="147" fillId="0" borderId="0" xfId="10" applyFont="1"/>
    <xf numFmtId="0" fontId="147" fillId="0" borderId="0" xfId="10" applyFont="1" applyFill="1"/>
    <xf numFmtId="0" fontId="147" fillId="0" borderId="0" xfId="0" applyFont="1"/>
    <xf numFmtId="0" fontId="147" fillId="0" borderId="0" xfId="10" applyFont="1" applyAlignment="1">
      <alignment vertical="center"/>
    </xf>
    <xf numFmtId="0" fontId="147" fillId="0" borderId="0" xfId="10" applyFont="1" applyAlignment="1">
      <alignment horizontal="centerContinuous"/>
    </xf>
    <xf numFmtId="187" fontId="149" fillId="0" borderId="0" xfId="10" applyNumberFormat="1" applyFont="1" applyAlignment="1"/>
    <xf numFmtId="167" fontId="147" fillId="0" borderId="0" xfId="10" applyNumberFormat="1" applyFont="1" applyFill="1"/>
    <xf numFmtId="167" fontId="147" fillId="0" borderId="0" xfId="10" applyNumberFormat="1" applyFont="1"/>
    <xf numFmtId="182" fontId="147" fillId="0" borderId="0" xfId="10" applyNumberFormat="1" applyFont="1"/>
    <xf numFmtId="14" fontId="147" fillId="0" borderId="0" xfId="0" applyNumberFormat="1" applyFont="1"/>
    <xf numFmtId="0" fontId="147" fillId="0" borderId="0" xfId="10" applyFont="1" applyAlignment="1"/>
    <xf numFmtId="0" fontId="141" fillId="2" borderId="0" xfId="10" applyFont="1" applyFill="1"/>
    <xf numFmtId="0" fontId="140" fillId="2" borderId="0" xfId="10" applyFont="1" applyFill="1"/>
    <xf numFmtId="0" fontId="141" fillId="2" borderId="4" xfId="10" applyFont="1" applyFill="1" applyBorder="1"/>
    <xf numFmtId="182" fontId="141" fillId="2" borderId="0" xfId="10" applyNumberFormat="1" applyFont="1" applyFill="1"/>
    <xf numFmtId="0" fontId="141" fillId="2" borderId="0" xfId="10" applyFont="1" applyFill="1" applyAlignment="1">
      <alignment vertical="center"/>
    </xf>
    <xf numFmtId="0" fontId="142" fillId="2" borderId="0" xfId="10" applyFont="1" applyFill="1" applyAlignment="1">
      <alignment horizontal="right" vertical="center"/>
    </xf>
    <xf numFmtId="0" fontId="143" fillId="2" borderId="0" xfId="10" applyFont="1" applyFill="1"/>
    <xf numFmtId="195" fontId="141" fillId="2" borderId="0" xfId="10" applyNumberFormat="1" applyFont="1" applyFill="1"/>
    <xf numFmtId="177" fontId="141" fillId="2" borderId="0" xfId="10" applyNumberFormat="1" applyFont="1" applyFill="1"/>
    <xf numFmtId="177" fontId="141" fillId="2" borderId="0" xfId="11" applyNumberFormat="1" applyFont="1" applyFill="1"/>
    <xf numFmtId="177" fontId="143" fillId="2" borderId="0" xfId="11" applyNumberFormat="1" applyFont="1" applyFill="1"/>
    <xf numFmtId="177" fontId="141" fillId="2" borderId="0" xfId="11" applyNumberFormat="1" applyFont="1" applyFill="1" applyAlignment="1">
      <alignment horizontal="right"/>
    </xf>
    <xf numFmtId="167" fontId="141" fillId="2" borderId="0" xfId="0" applyNumberFormat="1" applyFont="1" applyFill="1"/>
    <xf numFmtId="0" fontId="146" fillId="2" borderId="0" xfId="3" applyFont="1" applyFill="1"/>
    <xf numFmtId="14" fontId="142" fillId="9" borderId="0" xfId="10" applyNumberFormat="1" applyFont="1" applyFill="1" applyAlignment="1">
      <alignment vertical="center"/>
    </xf>
    <xf numFmtId="14" fontId="142" fillId="9" borderId="0" xfId="10" applyNumberFormat="1" applyFont="1" applyFill="1"/>
    <xf numFmtId="187" fontId="150" fillId="9" borderId="0" xfId="10" applyNumberFormat="1" applyFont="1" applyFill="1" applyAlignment="1">
      <alignment horizontal="center" vertical="center"/>
    </xf>
    <xf numFmtId="182" fontId="145" fillId="9" borderId="4" xfId="11" applyNumberFormat="1" applyFont="1" applyFill="1" applyBorder="1" applyAlignment="1">
      <alignment vertical="center"/>
    </xf>
    <xf numFmtId="182" fontId="151" fillId="9" borderId="0" xfId="11" applyNumberFormat="1" applyFont="1" applyFill="1" applyAlignment="1">
      <alignment vertical="center"/>
    </xf>
    <xf numFmtId="182" fontId="145" fillId="9" borderId="0" xfId="11" applyNumberFormat="1" applyFont="1" applyFill="1" applyAlignment="1">
      <alignment vertical="center"/>
    </xf>
    <xf numFmtId="182" fontId="151" fillId="9" borderId="0" xfId="11" applyNumberFormat="1" applyFont="1" applyFill="1" applyAlignment="1">
      <alignment vertical="top"/>
    </xf>
    <xf numFmtId="167" fontId="145" fillId="9" borderId="0" xfId="11" applyNumberFormat="1" applyFont="1" applyFill="1" applyAlignment="1">
      <alignment vertical="center"/>
    </xf>
    <xf numFmtId="167" fontId="151" fillId="9" borderId="0" xfId="11" applyNumberFormat="1" applyFont="1" applyFill="1" applyAlignment="1">
      <alignment vertical="center"/>
    </xf>
    <xf numFmtId="182" fontId="145" fillId="9" borderId="0" xfId="11" applyNumberFormat="1" applyFont="1" applyFill="1" applyAlignment="1">
      <alignment horizontal="right" vertical="center"/>
    </xf>
    <xf numFmtId="182" fontId="151" fillId="9" borderId="0" xfId="11" applyNumberFormat="1" applyFont="1" applyFill="1" applyAlignment="1">
      <alignment horizontal="right" vertical="center" wrapText="1"/>
    </xf>
    <xf numFmtId="182" fontId="145" fillId="9" borderId="0" xfId="11" applyNumberFormat="1" applyFont="1" applyFill="1" applyAlignment="1">
      <alignment horizontal="right" vertical="center" wrapText="1"/>
    </xf>
    <xf numFmtId="182" fontId="151" fillId="9" borderId="0" xfId="10" applyNumberFormat="1" applyFont="1" applyFill="1" applyAlignment="1">
      <alignment vertical="center"/>
    </xf>
    <xf numFmtId="0" fontId="144" fillId="9" borderId="0" xfId="10" applyFont="1" applyFill="1" applyAlignment="1">
      <alignment horizontal="center" vertical="center"/>
    </xf>
    <xf numFmtId="167" fontId="144" fillId="9" borderId="0" xfId="10" applyNumberFormat="1" applyFont="1" applyFill="1" applyAlignment="1">
      <alignment horizontal="center" vertical="center"/>
    </xf>
    <xf numFmtId="182" fontId="144" fillId="9" borderId="0" xfId="11" applyNumberFormat="1" applyFont="1" applyFill="1" applyAlignment="1">
      <alignment vertical="center"/>
    </xf>
    <xf numFmtId="182" fontId="143" fillId="9" borderId="0" xfId="11" applyNumberFormat="1" applyFont="1" applyFill="1" applyAlignment="1">
      <alignment vertical="center"/>
    </xf>
    <xf numFmtId="167" fontId="145" fillId="9" borderId="0" xfId="10" applyNumberFormat="1" applyFont="1" applyFill="1" applyAlignment="1">
      <alignment vertical="center"/>
    </xf>
    <xf numFmtId="167" fontId="152" fillId="9" borderId="0" xfId="10" applyNumberFormat="1" applyFont="1" applyFill="1" applyAlignment="1">
      <alignment horizontal="center" vertical="top"/>
    </xf>
    <xf numFmtId="167" fontId="151" fillId="9" borderId="0" xfId="10" applyNumberFormat="1" applyFont="1" applyFill="1" applyAlignment="1">
      <alignment vertical="center"/>
    </xf>
    <xf numFmtId="167" fontId="141" fillId="9" borderId="0" xfId="10" applyNumberFormat="1" applyFont="1" applyFill="1"/>
    <xf numFmtId="187" fontId="150" fillId="9" borderId="0" xfId="11" applyNumberFormat="1" applyFont="1" applyFill="1" applyAlignment="1">
      <alignment horizontal="center" vertical="center"/>
    </xf>
    <xf numFmtId="177" fontId="141" fillId="9" borderId="0" xfId="11" applyNumberFormat="1" applyFont="1" applyFill="1"/>
    <xf numFmtId="177" fontId="145" fillId="9" borderId="0" xfId="11" applyNumberFormat="1" applyFont="1" applyFill="1"/>
    <xf numFmtId="177" fontId="143" fillId="9" borderId="0" xfId="11" applyNumberFormat="1" applyFont="1" applyFill="1"/>
    <xf numFmtId="177" fontId="144" fillId="9" borderId="0" xfId="11" applyNumberFormat="1" applyFont="1" applyFill="1"/>
    <xf numFmtId="177" fontId="141" fillId="9" borderId="0" xfId="11" applyNumberFormat="1" applyFont="1" applyFill="1" applyAlignment="1">
      <alignment horizontal="right"/>
    </xf>
    <xf numFmtId="167" fontId="144" fillId="9" borderId="0" xfId="10" applyNumberFormat="1" applyFont="1" applyFill="1" applyAlignment="1">
      <alignment vertical="center"/>
    </xf>
    <xf numFmtId="0" fontId="141" fillId="9" borderId="0" xfId="10" applyFont="1" applyFill="1"/>
    <xf numFmtId="191" fontId="141" fillId="9" borderId="0" xfId="10" applyNumberFormat="1" applyFont="1" applyFill="1"/>
    <xf numFmtId="0" fontId="146" fillId="9" borderId="0" xfId="3" applyFont="1" applyFill="1"/>
    <xf numFmtId="0" fontId="153" fillId="3" borderId="0" xfId="14" applyFont="1" applyFill="1" applyAlignment="1">
      <alignment vertical="center"/>
    </xf>
    <xf numFmtId="0" fontId="153" fillId="3" borderId="0" xfId="14" applyFont="1" applyFill="1" applyAlignment="1">
      <alignment vertical="center" wrapText="1"/>
    </xf>
    <xf numFmtId="0" fontId="9" fillId="3" borderId="0" xfId="14" applyFont="1" applyFill="1" applyAlignment="1">
      <alignment vertical="center" wrapText="1"/>
    </xf>
    <xf numFmtId="196" fontId="154" fillId="3" borderId="0" xfId="14" applyNumberFormat="1" applyFont="1" applyFill="1" applyAlignment="1">
      <alignment horizontal="center" vertical="center"/>
    </xf>
    <xf numFmtId="168" fontId="66" fillId="3" borderId="0" xfId="14" applyNumberFormat="1" applyFont="1" applyFill="1" applyAlignment="1">
      <alignment horizontal="center" vertical="center"/>
    </xf>
    <xf numFmtId="0" fontId="9" fillId="3" borderId="0" xfId="14" applyFont="1" applyFill="1" applyAlignment="1">
      <alignment vertical="center"/>
    </xf>
    <xf numFmtId="0" fontId="9" fillId="0" borderId="0" xfId="14" applyFont="1" applyAlignment="1">
      <alignment vertical="center"/>
    </xf>
    <xf numFmtId="0" fontId="9" fillId="0" borderId="0" xfId="14" applyFont="1" applyAlignment="1">
      <alignment vertical="center" wrapText="1"/>
    </xf>
    <xf numFmtId="0" fontId="153" fillId="3" borderId="0" xfId="14" applyFont="1" applyFill="1" applyAlignment="1">
      <alignment horizontal="left" vertical="center"/>
    </xf>
    <xf numFmtId="196" fontId="32" fillId="3" borderId="0" xfId="14" applyNumberFormat="1" applyFont="1" applyFill="1" applyAlignment="1">
      <alignment horizontal="center" vertical="center"/>
    </xf>
    <xf numFmtId="182" fontId="145" fillId="9" borderId="0" xfId="11" applyNumberFormat="1" applyFont="1" applyFill="1" applyBorder="1" applyAlignment="1">
      <alignment vertical="center"/>
    </xf>
    <xf numFmtId="4" fontId="141" fillId="2" borderId="0" xfId="10" applyNumberFormat="1" applyFont="1" applyFill="1"/>
    <xf numFmtId="0" fontId="155" fillId="4" borderId="22" xfId="3" applyFont="1" applyFill="1" applyBorder="1"/>
    <xf numFmtId="0" fontId="155" fillId="0" borderId="24" xfId="3" applyFont="1" applyBorder="1"/>
    <xf numFmtId="185" fontId="155" fillId="0" borderId="25" xfId="3" applyNumberFormat="1" applyFont="1" applyFill="1" applyBorder="1" applyAlignment="1">
      <alignment horizontal="center"/>
    </xf>
    <xf numFmtId="0" fontId="156" fillId="0" borderId="27" xfId="3" applyFont="1" applyBorder="1"/>
    <xf numFmtId="0" fontId="156" fillId="0" borderId="0" xfId="3" applyFont="1" applyBorder="1"/>
    <xf numFmtId="0" fontId="156" fillId="0" borderId="0" xfId="3" applyFont="1"/>
    <xf numFmtId="0" fontId="155" fillId="0" borderId="0" xfId="3" applyFont="1"/>
    <xf numFmtId="167" fontId="155" fillId="0" borderId="0" xfId="3" applyNumberFormat="1" applyFont="1"/>
    <xf numFmtId="182" fontId="155" fillId="0" borderId="0" xfId="3" applyNumberFormat="1" applyFont="1"/>
    <xf numFmtId="166" fontId="147" fillId="3" borderId="36" xfId="3" applyNumberFormat="1" applyFont="1" applyFill="1" applyBorder="1" applyAlignment="1">
      <alignment horizontal="center"/>
    </xf>
    <xf numFmtId="0" fontId="157" fillId="0" borderId="0" xfId="3" applyFont="1"/>
    <xf numFmtId="182" fontId="21" fillId="0" borderId="24" xfId="11" applyNumberFormat="1" applyFont="1" applyFill="1" applyBorder="1" applyAlignment="1" applyProtection="1">
      <alignment vertical="center"/>
      <protection locked="0"/>
    </xf>
    <xf numFmtId="182" fontId="21" fillId="0" borderId="57" xfId="11" applyNumberFormat="1" applyFont="1" applyFill="1" applyBorder="1" applyAlignment="1" applyProtection="1">
      <alignment vertical="center"/>
      <protection locked="0"/>
    </xf>
    <xf numFmtId="167" fontId="7" fillId="2" borderId="67" xfId="11" applyNumberFormat="1" applyFont="1" applyFill="1" applyBorder="1" applyAlignment="1">
      <alignment vertical="center"/>
    </xf>
    <xf numFmtId="182" fontId="148" fillId="0" borderId="88" xfId="11" applyNumberFormat="1" applyFont="1" applyFill="1" applyBorder="1" applyAlignment="1" applyProtection="1">
      <alignment vertical="center"/>
      <protection locked="0"/>
    </xf>
    <xf numFmtId="0" fontId="164" fillId="14" borderId="89" xfId="14" applyFont="1" applyFill="1" applyBorder="1" applyAlignment="1">
      <alignment vertical="center"/>
    </xf>
    <xf numFmtId="0" fontId="160" fillId="15" borderId="89" xfId="0" applyFont="1" applyFill="1" applyBorder="1" applyAlignment="1">
      <alignment vertical="center"/>
    </xf>
    <xf numFmtId="0" fontId="161" fillId="11" borderId="90" xfId="14" applyFont="1" applyFill="1" applyBorder="1" applyAlignment="1">
      <alignment horizontal="center" vertical="center" wrapText="1"/>
    </xf>
    <xf numFmtId="0" fontId="161" fillId="11" borderId="90" xfId="14" applyFont="1" applyFill="1" applyBorder="1" applyAlignment="1">
      <alignment horizontal="center" vertical="center" wrapText="1"/>
    </xf>
    <xf numFmtId="0" fontId="161" fillId="11" borderId="90" xfId="14" applyFont="1" applyFill="1" applyBorder="1" applyAlignment="1">
      <alignment horizontal="center" vertical="center" wrapText="1"/>
    </xf>
    <xf numFmtId="0" fontId="162" fillId="13" borderId="92" xfId="14" applyFont="1" applyFill="1" applyBorder="1" applyAlignment="1">
      <alignment vertical="center"/>
    </xf>
    <xf numFmtId="4" fontId="162" fillId="13" borderId="92" xfId="14" applyNumberFormat="1" applyFont="1" applyFill="1" applyBorder="1" applyAlignment="1">
      <alignment vertical="center" wrapText="1"/>
    </xf>
    <xf numFmtId="4" fontId="162" fillId="13" borderId="92" xfId="14" applyNumberFormat="1" applyFont="1" applyFill="1" applyBorder="1" applyAlignment="1">
      <alignment vertical="center" wrapText="1"/>
    </xf>
    <xf numFmtId="4" fontId="162" fillId="13" borderId="92" xfId="14" applyNumberFormat="1" applyFont="1" applyFill="1" applyBorder="1" applyAlignment="1">
      <alignment vertical="center" wrapText="1"/>
    </xf>
    <xf numFmtId="0" fontId="158" fillId="10" borderId="89" xfId="14" applyFont="1" applyFill="1" applyBorder="1" applyAlignment="1">
      <alignment horizontal="left" vertical="center" indent="1"/>
    </xf>
    <xf numFmtId="4" fontId="160" fillId="15" borderId="89" xfId="14" applyNumberFormat="1" applyFont="1" applyFill="1" applyBorder="1" applyAlignment="1" applyProtection="1">
      <alignment vertical="center" wrapText="1"/>
      <protection locked="0"/>
    </xf>
    <xf numFmtId="4" fontId="160" fillId="15" borderId="89" xfId="14" applyNumberFormat="1" applyFont="1" applyFill="1" applyBorder="1" applyAlignment="1" applyProtection="1">
      <alignment vertical="center" wrapText="1"/>
      <protection locked="0"/>
    </xf>
    <xf numFmtId="4" fontId="158" fillId="10" borderId="89" xfId="14" applyNumberFormat="1" applyFont="1" applyFill="1" applyBorder="1" applyAlignment="1">
      <alignment vertical="center" wrapText="1"/>
    </xf>
    <xf numFmtId="4" fontId="160" fillId="15" borderId="89" xfId="14" applyNumberFormat="1" applyFont="1" applyFill="1" applyBorder="1" applyAlignment="1" applyProtection="1">
      <alignment vertical="center" wrapText="1"/>
      <protection locked="0"/>
    </xf>
    <xf numFmtId="4" fontId="160" fillId="15" borderId="89" xfId="14" applyNumberFormat="1" applyFont="1" applyFill="1" applyBorder="1" applyAlignment="1" applyProtection="1">
      <alignment vertical="center" wrapText="1"/>
      <protection locked="0"/>
    </xf>
    <xf numFmtId="0" fontId="159" fillId="14" borderId="89" xfId="14" applyFont="1" applyFill="1" applyBorder="1" applyAlignment="1">
      <alignment horizontal="left" vertical="center" indent="1"/>
    </xf>
    <xf numFmtId="4" fontId="159" fillId="14" borderId="89" xfId="14" applyNumberFormat="1" applyFont="1" applyFill="1" applyBorder="1" applyAlignment="1">
      <alignment vertical="center" wrapText="1"/>
    </xf>
    <xf numFmtId="4" fontId="159" fillId="14" borderId="89" xfId="14" applyNumberFormat="1" applyFont="1" applyFill="1" applyBorder="1" applyAlignment="1">
      <alignment vertical="center" wrapText="1"/>
    </xf>
    <xf numFmtId="4" fontId="159" fillId="14" borderId="89" xfId="14" applyNumberFormat="1" applyFont="1" applyFill="1" applyBorder="1" applyAlignment="1">
      <alignment vertical="center" wrapText="1"/>
    </xf>
    <xf numFmtId="0" fontId="158" fillId="10" borderId="89" xfId="14" applyFont="1" applyFill="1" applyBorder="1" applyAlignment="1">
      <alignment horizontal="left" vertical="center" indent="2"/>
    </xf>
    <xf numFmtId="4" fontId="158" fillId="10" borderId="89" xfId="14" applyNumberFormat="1" applyFont="1" applyFill="1" applyBorder="1" applyAlignment="1">
      <alignment vertical="center" wrapText="1"/>
    </xf>
    <xf numFmtId="4" fontId="160" fillId="15" borderId="89" xfId="14" applyNumberFormat="1" applyFont="1" applyFill="1" applyBorder="1" applyAlignment="1" applyProtection="1">
      <alignment vertical="center" wrapText="1"/>
      <protection locked="0"/>
    </xf>
    <xf numFmtId="4" fontId="160" fillId="15" borderId="89" xfId="14" applyNumberFormat="1" applyFont="1" applyFill="1" applyBorder="1" applyAlignment="1" applyProtection="1">
      <alignment vertical="center" wrapText="1"/>
      <protection locked="0"/>
    </xf>
    <xf numFmtId="4" fontId="160" fillId="15" borderId="89" xfId="14" applyNumberFormat="1" applyFont="1" applyFill="1" applyBorder="1" applyAlignment="1" applyProtection="1">
      <alignment vertical="center" wrapText="1"/>
      <protection locked="0"/>
    </xf>
    <xf numFmtId="4" fontId="160" fillId="15" borderId="89" xfId="14" applyNumberFormat="1" applyFont="1" applyFill="1" applyBorder="1" applyAlignment="1" applyProtection="1">
      <alignment vertical="center" wrapText="1"/>
      <protection locked="0"/>
    </xf>
    <xf numFmtId="0" fontId="163" fillId="12" borderId="91" xfId="14" applyFont="1" applyFill="1" applyBorder="1" applyAlignment="1">
      <alignment horizontal="center" vertical="center"/>
    </xf>
    <xf numFmtId="4" fontId="163" fillId="12" borderId="91" xfId="14" applyNumberFormat="1" applyFont="1" applyFill="1" applyBorder="1" applyAlignment="1">
      <alignment vertical="center" wrapText="1"/>
    </xf>
    <xf numFmtId="4" fontId="163" fillId="12" borderId="91" xfId="14" applyNumberFormat="1" applyFont="1" applyFill="1" applyBorder="1" applyAlignment="1">
      <alignment vertical="center" wrapText="1"/>
    </xf>
    <xf numFmtId="4" fontId="163" fillId="12" borderId="91" xfId="14" applyNumberFormat="1" applyFont="1" applyFill="1" applyBorder="1" applyAlignment="1">
      <alignment vertical="center" wrapText="1"/>
    </xf>
    <xf numFmtId="4" fontId="163" fillId="12" borderId="91" xfId="14" applyNumberFormat="1" applyFont="1" applyFill="1" applyBorder="1" applyAlignment="1">
      <alignment vertical="center" wrapText="1"/>
    </xf>
    <xf numFmtId="4" fontId="163" fillId="12" borderId="91" xfId="14" applyNumberFormat="1" applyFont="1" applyFill="1" applyBorder="1" applyAlignment="1">
      <alignment vertical="center" wrapText="1"/>
    </xf>
    <xf numFmtId="0" fontId="160" fillId="15" borderId="89" xfId="14" applyFont="1" applyFill="1" applyBorder="1" applyAlignment="1">
      <alignment vertical="center" wrapText="1"/>
    </xf>
    <xf numFmtId="0" fontId="161" fillId="11" borderId="90" xfId="14" applyFont="1" applyFill="1" applyBorder="1" applyAlignment="1">
      <alignment horizontal="center" vertical="center" wrapText="1"/>
    </xf>
    <xf numFmtId="187" fontId="161" fillId="11" borderId="90" xfId="14" applyNumberFormat="1" applyFont="1" applyFill="1" applyBorder="1" applyAlignment="1">
      <alignment horizontal="center" vertical="center" wrapText="1"/>
    </xf>
    <xf numFmtId="0" fontId="161" fillId="11" borderId="90" xfId="14" applyFont="1" applyFill="1" applyBorder="1" applyAlignment="1">
      <alignment horizontal="center" vertical="center" wrapText="1"/>
    </xf>
    <xf numFmtId="0" fontId="162" fillId="13" borderId="92" xfId="14" applyFont="1" applyFill="1" applyBorder="1" applyAlignment="1">
      <alignment vertical="center"/>
    </xf>
    <xf numFmtId="4" fontId="162" fillId="13" borderId="92" xfId="14" applyNumberFormat="1" applyFont="1" applyFill="1" applyBorder="1" applyAlignment="1">
      <alignment horizontal="right" vertical="center" wrapText="1"/>
    </xf>
    <xf numFmtId="4" fontId="162" fillId="13" borderId="92" xfId="14" applyNumberFormat="1" applyFont="1" applyFill="1" applyBorder="1" applyAlignment="1">
      <alignment horizontal="right" vertical="center" wrapText="1"/>
    </xf>
    <xf numFmtId="0" fontId="158" fillId="10" borderId="89" xfId="14" applyFont="1" applyFill="1" applyBorder="1" applyAlignment="1">
      <alignment horizontal="left" vertical="center" indent="1"/>
    </xf>
    <xf numFmtId="4" fontId="160" fillId="15" borderId="89" xfId="14" applyNumberFormat="1" applyFont="1" applyFill="1" applyBorder="1" applyAlignment="1" applyProtection="1">
      <alignment horizontal="right" vertical="center" wrapText="1"/>
      <protection locked="0"/>
    </xf>
    <xf numFmtId="4" fontId="160" fillId="15" borderId="89" xfId="14" applyNumberFormat="1" applyFont="1" applyFill="1" applyBorder="1" applyAlignment="1" applyProtection="1">
      <alignment horizontal="right" vertical="center" wrapText="1"/>
      <protection locked="0"/>
    </xf>
    <xf numFmtId="4" fontId="160" fillId="15" borderId="89" xfId="14" applyNumberFormat="1" applyFont="1" applyFill="1" applyBorder="1" applyAlignment="1" applyProtection="1">
      <alignment horizontal="right" vertical="center" wrapText="1"/>
      <protection locked="0"/>
    </xf>
    <xf numFmtId="0" fontId="158" fillId="10" borderId="89" xfId="14" applyFont="1" applyFill="1" applyBorder="1" applyAlignment="1">
      <alignment horizontal="right" vertical="center"/>
    </xf>
    <xf numFmtId="4" fontId="163" fillId="12" borderId="91" xfId="14" applyNumberFormat="1" applyFont="1" applyFill="1" applyBorder="1" applyAlignment="1">
      <alignment horizontal="right" vertical="center" wrapText="1"/>
    </xf>
    <xf numFmtId="4" fontId="163" fillId="12" borderId="91" xfId="14" applyNumberFormat="1" applyFont="1" applyFill="1" applyBorder="1" applyAlignment="1">
      <alignment horizontal="right" vertical="center" wrapText="1"/>
    </xf>
    <xf numFmtId="0" fontId="159" fillId="14" borderId="89" xfId="14" applyFont="1" applyFill="1" applyBorder="1" applyAlignment="1">
      <alignment horizontal="left" vertical="center" indent="1"/>
    </xf>
    <xf numFmtId="4" fontId="159" fillId="14" borderId="89" xfId="14" applyNumberFormat="1" applyFont="1" applyFill="1" applyBorder="1" applyAlignment="1" applyProtection="1">
      <alignment horizontal="right" vertical="center" wrapText="1"/>
      <protection locked="0"/>
    </xf>
    <xf numFmtId="4" fontId="159" fillId="14" borderId="89" xfId="14" applyNumberFormat="1" applyFont="1" applyFill="1" applyBorder="1" applyAlignment="1" applyProtection="1">
      <alignment horizontal="right" vertical="center" wrapText="1"/>
      <protection locked="0"/>
    </xf>
    <xf numFmtId="0" fontId="161" fillId="11" borderId="90" xfId="14" applyFont="1" applyFill="1" applyBorder="1" applyAlignment="1">
      <alignment horizontal="center" vertical="center" wrapText="1"/>
    </xf>
    <xf numFmtId="0" fontId="161" fillId="11" borderId="90" xfId="14" applyFont="1" applyFill="1" applyBorder="1" applyAlignment="1">
      <alignment horizontal="center" vertical="center" wrapText="1"/>
    </xf>
    <xf numFmtId="4" fontId="160" fillId="15" borderId="89" xfId="14" applyNumberFormat="1" applyFont="1" applyFill="1" applyBorder="1" applyAlignment="1" applyProtection="1">
      <alignment vertical="center"/>
      <protection locked="0"/>
    </xf>
    <xf numFmtId="4" fontId="160" fillId="15" borderId="89" xfId="14" applyNumberFormat="1" applyFont="1" applyFill="1" applyBorder="1" applyAlignment="1" applyProtection="1">
      <alignment vertical="center"/>
      <protection locked="0"/>
    </xf>
    <xf numFmtId="4" fontId="160" fillId="15" borderId="89" xfId="14" applyNumberFormat="1" applyFont="1" applyFill="1" applyBorder="1" applyAlignment="1" applyProtection="1">
      <alignment vertical="center"/>
      <protection locked="0"/>
    </xf>
    <xf numFmtId="0" fontId="158" fillId="10" borderId="89" xfId="14" applyFont="1" applyFill="1" applyBorder="1" applyAlignment="1">
      <alignment horizontal="left" vertical="center" indent="1"/>
    </xf>
    <xf numFmtId="4" fontId="159" fillId="14" borderId="89" xfId="14" applyNumberFormat="1" applyFont="1" applyFill="1" applyBorder="1" applyAlignment="1">
      <alignment vertical="center"/>
    </xf>
    <xf numFmtId="4" fontId="159" fillId="14" borderId="89" xfId="14" applyNumberFormat="1" applyFont="1" applyFill="1" applyBorder="1" applyAlignment="1">
      <alignment vertical="center"/>
    </xf>
    <xf numFmtId="4" fontId="160" fillId="15" borderId="89" xfId="14" applyNumberFormat="1" applyFont="1" applyFill="1" applyBorder="1" applyAlignment="1" applyProtection="1">
      <alignment vertical="center"/>
      <protection locked="0"/>
    </xf>
    <xf numFmtId="4" fontId="160" fillId="15" borderId="89" xfId="14" applyNumberFormat="1" applyFont="1" applyFill="1" applyBorder="1" applyAlignment="1" applyProtection="1">
      <alignment vertical="center"/>
      <protection locked="0"/>
    </xf>
    <xf numFmtId="4" fontId="162" fillId="13" borderId="92" xfId="14" applyNumberFormat="1" applyFont="1" applyFill="1" applyBorder="1" applyAlignment="1">
      <alignment vertical="center"/>
    </xf>
    <xf numFmtId="4" fontId="162" fillId="13" borderId="92" xfId="14" applyNumberFormat="1" applyFont="1" applyFill="1" applyBorder="1" applyAlignment="1">
      <alignment vertical="center"/>
    </xf>
    <xf numFmtId="4" fontId="160" fillId="15" borderId="89" xfId="14" applyNumberFormat="1" applyFont="1" applyFill="1" applyBorder="1" applyAlignment="1" applyProtection="1">
      <alignment vertical="center"/>
      <protection locked="0"/>
    </xf>
    <xf numFmtId="4" fontId="160" fillId="15" borderId="89" xfId="14" applyNumberFormat="1" applyFont="1" applyFill="1" applyBorder="1" applyAlignment="1" applyProtection="1">
      <alignment vertical="center"/>
      <protection locked="0"/>
    </xf>
    <xf numFmtId="4" fontId="163" fillId="12" borderId="91" xfId="14" applyNumberFormat="1" applyFont="1" applyFill="1" applyBorder="1" applyAlignment="1">
      <alignment vertical="center"/>
    </xf>
    <xf numFmtId="4" fontId="163" fillId="12" borderId="91" xfId="14" applyNumberFormat="1" applyFont="1" applyFill="1" applyBorder="1" applyAlignment="1">
      <alignment vertical="center"/>
    </xf>
    <xf numFmtId="0" fontId="161" fillId="11" borderId="90" xfId="3" applyFont="1" applyFill="1" applyBorder="1" applyAlignment="1">
      <alignment horizontal="center" vertical="center" wrapText="1"/>
    </xf>
    <xf numFmtId="0" fontId="161" fillId="11" borderId="90" xfId="3" applyFont="1" applyFill="1" applyBorder="1" applyAlignment="1">
      <alignment horizontal="center" vertical="center" wrapText="1"/>
    </xf>
    <xf numFmtId="187" fontId="161" fillId="11" borderId="90" xfId="3" applyNumberFormat="1" applyFont="1" applyFill="1" applyBorder="1" applyAlignment="1" applyProtection="1">
      <alignment horizontal="center" vertical="center" wrapText="1"/>
      <protection locked="0"/>
    </xf>
    <xf numFmtId="187" fontId="161" fillId="11" borderId="90" xfId="3" applyNumberFormat="1" applyFont="1" applyFill="1" applyBorder="1" applyAlignment="1" applyProtection="1">
      <alignment horizontal="center" vertical="center" wrapText="1"/>
      <protection locked="0"/>
    </xf>
    <xf numFmtId="0" fontId="161" fillId="11" borderId="90" xfId="3" applyFont="1" applyFill="1" applyBorder="1" applyAlignment="1">
      <alignment horizontal="center" vertical="center" wrapText="1"/>
    </xf>
    <xf numFmtId="187" fontId="161" fillId="11" borderId="90" xfId="3" applyNumberFormat="1" applyFont="1" applyFill="1" applyBorder="1" applyAlignment="1" applyProtection="1">
      <alignment horizontal="center" vertical="center" wrapText="1"/>
      <protection locked="0"/>
    </xf>
    <xf numFmtId="0" fontId="161" fillId="11" borderId="90" xfId="3" applyFont="1" applyFill="1" applyBorder="1" applyAlignment="1">
      <alignment horizontal="center" vertical="center" wrapText="1"/>
    </xf>
    <xf numFmtId="0" fontId="161" fillId="11" borderId="90" xfId="3" applyFont="1" applyFill="1" applyBorder="1" applyAlignment="1">
      <alignment horizontal="center" vertical="center" wrapText="1"/>
    </xf>
    <xf numFmtId="3" fontId="161" fillId="11" borderId="90" xfId="3" applyNumberFormat="1" applyFont="1" applyFill="1" applyBorder="1" applyAlignment="1">
      <alignment horizontal="center" vertical="center" wrapText="1"/>
    </xf>
    <xf numFmtId="0" fontId="161" fillId="11" borderId="90" xfId="3" applyFont="1" applyFill="1" applyBorder="1" applyAlignment="1">
      <alignment horizontal="center" vertical="center" wrapText="1"/>
    </xf>
    <xf numFmtId="187" fontId="161" fillId="11" borderId="90" xfId="3" applyNumberFormat="1" applyFont="1" applyFill="1" applyBorder="1" applyAlignment="1">
      <alignment horizontal="center" vertical="center" wrapText="1"/>
    </xf>
    <xf numFmtId="0" fontId="165" fillId="0" borderId="0" xfId="3" applyFont="1" applyFill="1" applyBorder="1" applyAlignment="1">
      <alignment horizontal="center" vertical="center"/>
    </xf>
    <xf numFmtId="0" fontId="165" fillId="0" borderId="0" xfId="8" applyFont="1" applyFill="1" applyBorder="1" applyAlignment="1">
      <alignment horizontal="center" vertical="center"/>
    </xf>
    <xf numFmtId="0" fontId="161" fillId="11" borderId="90" xfId="14" applyFont="1" applyFill="1" applyBorder="1" applyAlignment="1">
      <alignment horizontal="center" vertical="center" wrapText="1"/>
    </xf>
    <xf numFmtId="0" fontId="161" fillId="12" borderId="90" xfId="14" applyFont="1" applyFill="1" applyBorder="1" applyAlignment="1">
      <alignment horizontal="center" vertical="center" wrapText="1"/>
    </xf>
    <xf numFmtId="0" fontId="160" fillId="15" borderId="90" xfId="14" applyFont="1" applyFill="1" applyBorder="1" applyAlignment="1">
      <alignment horizontal="center" vertical="center" wrapText="1"/>
    </xf>
    <xf numFmtId="14" fontId="160" fillId="15" borderId="90" xfId="14" applyNumberFormat="1" applyFont="1" applyFill="1" applyBorder="1" applyAlignment="1" applyProtection="1">
      <alignment horizontal="center" vertical="center" wrapText="1"/>
      <protection locked="0"/>
    </xf>
    <xf numFmtId="0" fontId="158" fillId="10" borderId="89" xfId="14" applyFont="1" applyFill="1" applyBorder="1" applyAlignment="1">
      <alignment horizontal="left" vertical="center" indent="1"/>
    </xf>
    <xf numFmtId="187" fontId="161" fillId="11" borderId="90" xfId="14" applyNumberFormat="1" applyFont="1" applyFill="1" applyBorder="1" applyAlignment="1">
      <alignment horizontal="center" vertical="center" wrapText="1"/>
    </xf>
    <xf numFmtId="0" fontId="158" fillId="10" borderId="89" xfId="14" applyFont="1" applyFill="1" applyBorder="1" applyAlignment="1">
      <alignment horizontal="center" vertical="center" wrapText="1"/>
    </xf>
    <xf numFmtId="0" fontId="159" fillId="14" borderId="89" xfId="14" applyFont="1" applyFill="1" applyBorder="1" applyAlignment="1">
      <alignment horizontal="left" vertical="center" indent="1"/>
    </xf>
    <xf numFmtId="0" fontId="162" fillId="13" borderId="92" xfId="14" applyFont="1" applyFill="1" applyBorder="1" applyAlignment="1">
      <alignment horizontal="left" vertical="center"/>
    </xf>
    <xf numFmtId="0" fontId="163" fillId="12" borderId="91" xfId="14" applyFont="1" applyFill="1" applyBorder="1" applyAlignment="1">
      <alignment horizontal="left" vertical="center"/>
    </xf>
  </cellXfs>
  <cellStyles count="15">
    <cellStyle name="Milliers" xfId="1" builtinId="3"/>
    <cellStyle name="Normal" xfId="0" builtinId="0"/>
    <cellStyle name="Normal 2" xfId="14" xr:uid="{D6B9FB7E-C909-9E40-A23B-1D506637E7E0}"/>
    <cellStyle name="Normal_Dette" xfId="2" xr:uid="{00000000-0005-0000-0000-000002000000}"/>
    <cellStyle name="Normal_Etatsfin" xfId="3" xr:uid="{00000000-0005-0000-0000-000003000000}"/>
    <cellStyle name="Normal_Graph" xfId="4" xr:uid="{00000000-0005-0000-0000-000004000000}"/>
    <cellStyle name="Normal_Hypo" xfId="5" xr:uid="{00000000-0005-0000-0000-000005000000}"/>
    <cellStyle name="Normal_MC" xfId="6" xr:uid="{00000000-0005-0000-0000-000006000000}"/>
    <cellStyle name="Normal_PrSept" xfId="7" xr:uid="{00000000-0005-0000-0000-000007000000}"/>
    <cellStyle name="Normal_Ratios" xfId="8" xr:uid="{00000000-0005-0000-0000-000008000000}"/>
    <cellStyle name="Normal_Ratios_1" xfId="9" xr:uid="{00000000-0005-0000-0000-000009000000}"/>
    <cellStyle name="Normal_Saisie" xfId="10" xr:uid="{00000000-0005-0000-0000-00000A000000}"/>
    <cellStyle name="Normal_SAISIE_1" xfId="11" xr:uid="{00000000-0005-0000-0000-00000B000000}"/>
    <cellStyle name="Normal_Saisie_1_FINANCE2" xfId="12" xr:uid="{00000000-0005-0000-0000-00000C000000}"/>
    <cellStyle name="Pourcentage" xfId="13" builtinId="5"/>
  </cellStyles>
  <dxfs count="9">
    <dxf>
      <font>
        <b/>
        <i val="0"/>
        <strike val="0"/>
        <color rgb="FFFF0000"/>
      </font>
    </dxf>
    <dxf>
      <font>
        <condense val="0"/>
        <extend val="0"/>
        <color rgb="FF9C0006"/>
      </font>
      <fill>
        <patternFill>
          <bgColor rgb="FFFFC7CE"/>
        </patternFill>
      </fill>
    </dxf>
    <dxf>
      <font>
        <b/>
        <i val="0"/>
        <strike val="0"/>
        <color rgb="FFFF0000"/>
      </font>
    </dxf>
    <dxf>
      <font>
        <condense val="0"/>
        <extend val="0"/>
        <color rgb="FF9C0006"/>
      </font>
      <fill>
        <patternFill>
          <bgColor rgb="FFFFC7CE"/>
        </patternFill>
      </fill>
    </dxf>
    <dxf>
      <font>
        <b/>
        <i val="0"/>
        <strike val="0"/>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i val="0"/>
        <strike val="0"/>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CHIFFRE D'AFFAIRES</a:t>
            </a:r>
          </a:p>
        </c:rich>
      </c:tx>
      <c:overlay val="0"/>
      <c:spPr>
        <a:noFill/>
        <a:ln w="25400">
          <a:noFill/>
        </a:ln>
      </c:spPr>
    </c:title>
    <c:autoTitleDeleted val="0"/>
    <c:plotArea>
      <c:layout/>
      <c:barChart>
        <c:barDir val="col"/>
        <c:grouping val="clustered"/>
        <c:varyColors val="0"/>
        <c:ser>
          <c:idx val="1"/>
          <c:order val="1"/>
          <c:tx>
            <c:v>Chiffre d'affaires</c:v>
          </c:tx>
          <c:spPr>
            <a:solidFill>
              <a:srgbClr val="00915A"/>
            </a:solidFill>
            <a:ln w="12700">
              <a:solidFill>
                <a:srgbClr val="000000"/>
              </a:solidFill>
              <a:prstDash val="solid"/>
            </a:ln>
          </c:spPr>
          <c:invertIfNegative val="0"/>
          <c:val>
            <c:numRef>
              <c:f>PrSept!$E$104:$N$104</c:f>
              <c:numCache>
                <c:formatCode>#,##0.0_);[Red]"Négatif !"</c:formatCode>
                <c:ptCount val="10"/>
                <c:pt idx="0">
                  <c:v>717966.67356999998</c:v>
                </c:pt>
                <c:pt idx="1">
                  <c:v>907795.82200000004</c:v>
                </c:pt>
                <c:pt idx="2">
                  <c:v>1616204.6810000001</c:v>
                </c:pt>
                <c:pt idx="3">
                  <c:v>1616204.6810000001</c:v>
                </c:pt>
                <c:pt idx="4">
                  <c:v>1616204.6810000001</c:v>
                </c:pt>
                <c:pt idx="5">
                  <c:v>1616204.6810000001</c:v>
                </c:pt>
                <c:pt idx="6">
                  <c:v>1616204.6810000001</c:v>
                </c:pt>
                <c:pt idx="7">
                  <c:v>1616204.6810000001</c:v>
                </c:pt>
                <c:pt idx="8">
                  <c:v>1616204.6810000001</c:v>
                </c:pt>
                <c:pt idx="9">
                  <c:v>1616204.6810000001</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80A6-8441-84ED-FE0272B9E82A}"/>
            </c:ext>
          </c:extLst>
        </c:ser>
        <c:dLbls>
          <c:showLegendKey val="0"/>
          <c:showVal val="0"/>
          <c:showCatName val="0"/>
          <c:showSerName val="0"/>
          <c:showPercent val="0"/>
          <c:showBubbleSize val="0"/>
        </c:dLbls>
        <c:gapWidth val="150"/>
        <c:axId val="1693303519"/>
        <c:axId val="1"/>
      </c:barChart>
      <c:lineChart>
        <c:grouping val="standard"/>
        <c:varyColors val="0"/>
        <c:ser>
          <c:idx val="0"/>
          <c:order val="0"/>
          <c:tx>
            <c:v>Croissance du C.A.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PrSept!#REF!</c:f>
              <c:numCache>
                <c:formatCode>General</c:formatCode>
                <c:ptCount val="1"/>
                <c:pt idx="0">
                  <c:v>1</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80A6-8441-84ED-FE0272B9E82A}"/>
            </c:ext>
          </c:extLst>
        </c:ser>
        <c:dLbls>
          <c:showLegendKey val="0"/>
          <c:showVal val="0"/>
          <c:showCatName val="0"/>
          <c:showSerName val="0"/>
          <c:showPercent val="0"/>
          <c:showBubbleSize val="0"/>
        </c:dLbls>
        <c:marker val="1"/>
        <c:smooth val="0"/>
        <c:axId val="3"/>
        <c:axId val="4"/>
      </c:lineChart>
      <c:catAx>
        <c:axId val="1693303519"/>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Millions de FRF</a:t>
                </a:r>
              </a:p>
            </c:rich>
          </c:tx>
          <c:overlay val="0"/>
          <c:spPr>
            <a:noFill/>
            <a:ln w="25400">
              <a:noFill/>
            </a:ln>
          </c:spPr>
        </c:title>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93303519"/>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EBE RETRAITE</a:t>
            </a:r>
          </a:p>
        </c:rich>
      </c:tx>
      <c:overlay val="0"/>
      <c:spPr>
        <a:noFill/>
        <a:ln w="25400">
          <a:noFill/>
        </a:ln>
      </c:spPr>
    </c:title>
    <c:autoTitleDeleted val="0"/>
    <c:plotArea>
      <c:layout/>
      <c:barChart>
        <c:barDir val="col"/>
        <c:grouping val="clustered"/>
        <c:varyColors val="0"/>
        <c:ser>
          <c:idx val="1"/>
          <c:order val="1"/>
          <c:tx>
            <c:v>EBE retraité</c:v>
          </c:tx>
          <c:spPr>
            <a:solidFill>
              <a:srgbClr val="00915A"/>
            </a:solidFill>
            <a:ln w="12700">
              <a:solidFill>
                <a:srgbClr val="000000"/>
              </a:solidFill>
              <a:prstDash val="solid"/>
            </a:ln>
          </c:spPr>
          <c:invertIfNegative val="0"/>
          <c:val>
            <c:numRef>
              <c:f>PrSept!$E$206:$N$206</c:f>
              <c:numCache>
                <c:formatCode>#,##0.0_);[Red]\(#,##0.0\)</c:formatCode>
                <c:ptCount val="10"/>
                <c:pt idx="0">
                  <c:v>6127.6695499999996</c:v>
                </c:pt>
                <c:pt idx="1">
                  <c:v>6938.5937011200003</c:v>
                </c:pt>
                <c:pt idx="2">
                  <c:v>6990.3630000000003</c:v>
                </c:pt>
                <c:pt idx="3">
                  <c:v>0</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A8B6-9A40-B4EA-44A3C0D30BFC}"/>
            </c:ext>
          </c:extLst>
        </c:ser>
        <c:ser>
          <c:idx val="2"/>
          <c:order val="2"/>
          <c:tx>
            <c:v>Excédent de Gestion Courante</c:v>
          </c:tx>
          <c:spPr>
            <a:solidFill>
              <a:srgbClr val="C9A227"/>
            </a:solidFill>
            <a:ln w="12700">
              <a:solidFill>
                <a:srgbClr val="000000"/>
              </a:solidFill>
              <a:prstDash val="solid"/>
            </a:ln>
          </c:spPr>
          <c:invertIfNegative val="0"/>
          <c:val>
            <c:numRef>
              <c:f>PrSept!$E$213:$N$213</c:f>
              <c:numCache>
                <c:formatCode>#,##0.0_);[Red]\(#,##0.0\)</c:formatCode>
                <c:ptCount val="10"/>
                <c:pt idx="0">
                  <c:v>136989.13402</c:v>
                </c:pt>
                <c:pt idx="1">
                  <c:v>-75891.518020000003</c:v>
                </c:pt>
                <c:pt idx="2">
                  <c:v>201339.30200000003</c:v>
                </c:pt>
                <c:pt idx="3">
                  <c:v>-331432.50400000002</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A8B6-9A40-B4EA-44A3C0D30BFC}"/>
            </c:ext>
          </c:extLst>
        </c:ser>
        <c:dLbls>
          <c:showLegendKey val="0"/>
          <c:showVal val="0"/>
          <c:showCatName val="0"/>
          <c:showSerName val="0"/>
          <c:showPercent val="0"/>
          <c:showBubbleSize val="0"/>
        </c:dLbls>
        <c:gapWidth val="150"/>
        <c:axId val="1714895839"/>
        <c:axId val="1"/>
      </c:barChart>
      <c:lineChart>
        <c:grouping val="standard"/>
        <c:varyColors val="0"/>
        <c:ser>
          <c:idx val="0"/>
          <c:order val="0"/>
          <c:tx>
            <c:v>EBE retraité / C.A.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A8B6-9A40-B4EA-44A3C0D30BFC}"/>
            </c:ext>
          </c:extLst>
        </c:ser>
        <c:dLbls>
          <c:showLegendKey val="0"/>
          <c:showVal val="0"/>
          <c:showCatName val="0"/>
          <c:showSerName val="0"/>
          <c:showPercent val="0"/>
          <c:showBubbleSize val="0"/>
        </c:dLbls>
        <c:marker val="1"/>
        <c:smooth val="0"/>
        <c:axId val="3"/>
        <c:axId val="4"/>
      </c:lineChart>
      <c:catAx>
        <c:axId val="1714895839"/>
        <c:scaling>
          <c:orientation val="minMax"/>
        </c:scaling>
        <c:delete val="0"/>
        <c:axPos val="b"/>
        <c:numFmt formatCode="General" sourceLinked="1"/>
        <c:majorTickMark val="cross"/>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Millions de FRF</a:t>
                </a:r>
              </a:p>
            </c:rich>
          </c:tx>
          <c:overlay val="0"/>
          <c:spPr>
            <a:noFill/>
            <a:ln w="25400">
              <a:noFill/>
            </a:ln>
          </c:spPr>
        </c:title>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14895839"/>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 COUVERTURE DES OBLIG. FINANC.</a:t>
            </a:r>
          </a:p>
        </c:rich>
      </c:tx>
      <c:overlay val="0"/>
      <c:spPr>
        <a:noFill/>
        <a:ln w="25400">
          <a:noFill/>
        </a:ln>
      </c:spPr>
    </c:title>
    <c:autoTitleDeleted val="0"/>
    <c:plotArea>
      <c:layout/>
      <c:lineChart>
        <c:grouping val="standard"/>
        <c:varyColors val="0"/>
        <c:ser>
          <c:idx val="1"/>
          <c:order val="1"/>
          <c:tx>
            <c:v>EBE retraité - Invest. industriel / Service de la dette (%)</c:v>
          </c:tx>
          <c:spPr>
            <a:ln w="12700">
              <a:solidFill>
                <a:srgbClr val="6CBE99"/>
              </a:solidFill>
              <a:prstDash val="solid"/>
            </a:ln>
          </c:spPr>
          <c:marker>
            <c:symbol val="none"/>
          </c:marker>
          <c:val>
            <c:numRef>
              <c:f>PrSept!$E$284:$N$284</c:f>
              <c:numCache>
                <c:formatCode>0.0%;[Red]\(0.0%\)</c:formatCode>
                <c:ptCount val="10"/>
                <c:pt idx="0">
                  <c:v>0</c:v>
                </c:pt>
                <c:pt idx="1">
                  <c:v>0</c:v>
                </c:pt>
                <c:pt idx="2">
                  <c:v>0</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587C-0940-A8A8-77EAD1DF303E}"/>
            </c:ext>
          </c:extLst>
        </c:ser>
        <c:dLbls>
          <c:showLegendKey val="0"/>
          <c:showVal val="0"/>
          <c:showCatName val="0"/>
          <c:showSerName val="0"/>
          <c:showPercent val="0"/>
          <c:showBubbleSize val="0"/>
        </c:dLbls>
        <c:marker val="1"/>
        <c:smooth val="0"/>
        <c:axId val="1714928847"/>
        <c:axId val="1"/>
      </c:lineChart>
      <c:lineChart>
        <c:grouping val="standard"/>
        <c:varyColors val="1"/>
        <c:ser>
          <c:idx val="0"/>
          <c:order val="0"/>
          <c:tx>
            <c:v>EBE retraité / Résultat financier retraité (%)</c:v>
          </c:tx>
          <c:spPr>
            <a:ln w="12700">
              <a:solidFill>
                <a:srgbClr val="00573F"/>
              </a:solidFill>
              <a:prstDash val="solid"/>
            </a:ln>
          </c:spPr>
          <c:marker>
            <c:symbol val="circle"/>
            <c:size val="5"/>
            <c:spPr>
              <a:solidFill>
                <a:srgbClr val="00573F"/>
              </a:solidFill>
              <a:ln>
                <a:solidFill>
                  <a:srgbClr val="00573F"/>
                </a:solidFill>
                <a:prstDash val="solid"/>
              </a:ln>
            </c:spPr>
          </c:marker>
          <c:dPt>
            <c:idx val="0"/>
            <c:bubble3D val="0"/>
            <c:extLst>
              <c:ext xmlns:c16="http://schemas.microsoft.com/office/drawing/2014/chart" uri="{C3380CC4-5D6E-409C-BE32-E72D297353CC}">
                <c16:uniqueId val="{00000002-587C-0940-A8A8-77EAD1DF303E}"/>
              </c:ext>
            </c:extLst>
          </c:dPt>
          <c:dPt>
            <c:idx val="1"/>
            <c:bubble3D val="0"/>
            <c:extLst>
              <c:ext xmlns:c16="http://schemas.microsoft.com/office/drawing/2014/chart" uri="{C3380CC4-5D6E-409C-BE32-E72D297353CC}">
                <c16:uniqueId val="{00000004-587C-0940-A8A8-77EAD1DF303E}"/>
              </c:ext>
            </c:extLst>
          </c:dPt>
          <c:dPt>
            <c:idx val="2"/>
            <c:bubble3D val="0"/>
            <c:extLst>
              <c:ext xmlns:c16="http://schemas.microsoft.com/office/drawing/2014/chart" uri="{C3380CC4-5D6E-409C-BE32-E72D297353CC}">
                <c16:uniqueId val="{00000006-587C-0940-A8A8-77EAD1DF303E}"/>
              </c:ext>
            </c:extLst>
          </c:dPt>
          <c:dPt>
            <c:idx val="3"/>
            <c:bubble3D val="0"/>
            <c:extLst>
              <c:ext xmlns:c16="http://schemas.microsoft.com/office/drawing/2014/chart" uri="{C3380CC4-5D6E-409C-BE32-E72D297353CC}">
                <c16:uniqueId val="{00000008-587C-0940-A8A8-77EAD1DF303E}"/>
              </c:ext>
            </c:extLst>
          </c:dPt>
          <c:dPt>
            <c:idx val="4"/>
            <c:bubble3D val="0"/>
            <c:extLst>
              <c:ext xmlns:c16="http://schemas.microsoft.com/office/drawing/2014/chart" uri="{C3380CC4-5D6E-409C-BE32-E72D297353CC}">
                <c16:uniqueId val="{0000000A-587C-0940-A8A8-77EAD1DF303E}"/>
              </c:ext>
            </c:extLst>
          </c:dPt>
          <c:dPt>
            <c:idx val="5"/>
            <c:bubble3D val="0"/>
            <c:extLst>
              <c:ext xmlns:c16="http://schemas.microsoft.com/office/drawing/2014/chart" uri="{C3380CC4-5D6E-409C-BE32-E72D297353CC}">
                <c16:uniqueId val="{0000000C-587C-0940-A8A8-77EAD1DF303E}"/>
              </c:ext>
            </c:extLst>
          </c:dPt>
          <c:dPt>
            <c:idx val="6"/>
            <c:bubble3D val="0"/>
            <c:extLst>
              <c:ext xmlns:c16="http://schemas.microsoft.com/office/drawing/2014/chart" uri="{C3380CC4-5D6E-409C-BE32-E72D297353CC}">
                <c16:uniqueId val="{0000000E-587C-0940-A8A8-77EAD1DF303E}"/>
              </c:ext>
            </c:extLst>
          </c:dPt>
          <c:dPt>
            <c:idx val="7"/>
            <c:bubble3D val="0"/>
            <c:extLst>
              <c:ext xmlns:c16="http://schemas.microsoft.com/office/drawing/2014/chart" uri="{C3380CC4-5D6E-409C-BE32-E72D297353CC}">
                <c16:uniqueId val="{00000010-587C-0940-A8A8-77EAD1DF303E}"/>
              </c:ext>
            </c:extLst>
          </c:dPt>
          <c:dPt>
            <c:idx val="8"/>
            <c:bubble3D val="0"/>
            <c:extLst>
              <c:ext xmlns:c16="http://schemas.microsoft.com/office/drawing/2014/chart" uri="{C3380CC4-5D6E-409C-BE32-E72D297353CC}">
                <c16:uniqueId val="{00000012-587C-0940-A8A8-77EAD1DF303E}"/>
              </c:ext>
            </c:extLst>
          </c:dPt>
          <c:dPt>
            <c:idx val="9"/>
            <c:bubble3D val="0"/>
            <c:extLst>
              <c:ext xmlns:c16="http://schemas.microsoft.com/office/drawing/2014/chart" uri="{C3380CC4-5D6E-409C-BE32-E72D297353CC}">
                <c16:uniqueId val="{00000014-587C-0940-A8A8-77EAD1DF303E}"/>
              </c:ext>
            </c:extLst>
          </c:dPt>
          <c:val>
            <c:numRef>
              <c:f>PrSept!$E$281:$N$281</c:f>
              <c:numCache>
                <c:formatCode>0.0%;[Red]\(0.0%\)</c:formatCode>
                <c:ptCount val="10"/>
                <c:pt idx="0">
                  <c:v>6.3223488466144833</c:v>
                </c:pt>
                <c:pt idx="1">
                  <c:v>3.6609762378057713</c:v>
                </c:pt>
                <c:pt idx="2">
                  <c:v>2.1464456654602597</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15-587C-0940-A8A8-77EAD1DF303E}"/>
            </c:ext>
          </c:extLst>
        </c:ser>
        <c:dLbls>
          <c:showLegendKey val="0"/>
          <c:showVal val="0"/>
          <c:showCatName val="0"/>
          <c:showSerName val="0"/>
          <c:showPercent val="0"/>
          <c:showBubbleSize val="0"/>
        </c:dLbls>
        <c:marker val="1"/>
        <c:smooth val="0"/>
        <c:axId val="3"/>
        <c:axId val="4"/>
      </c:lineChart>
      <c:catAx>
        <c:axId val="1714928847"/>
        <c:scaling>
          <c:orientation val="minMax"/>
        </c:scaling>
        <c:delete val="0"/>
        <c:axPos val="b"/>
        <c:numFmt formatCode="General" sourceLinked="1"/>
        <c:majorTickMark val="cross"/>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0%;[Red]\(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14928847"/>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INVESTISSEMENT INDUSTRIEL</a:t>
            </a:r>
          </a:p>
        </c:rich>
      </c:tx>
      <c:overlay val="0"/>
      <c:spPr>
        <a:noFill/>
        <a:ln w="25400">
          <a:noFill/>
        </a:ln>
      </c:spPr>
    </c:title>
    <c:autoTitleDeleted val="0"/>
    <c:plotArea>
      <c:layout/>
      <c:barChart>
        <c:barDir val="col"/>
        <c:grouping val="clustered"/>
        <c:varyColors val="0"/>
        <c:ser>
          <c:idx val="1"/>
          <c:order val="1"/>
          <c:tx>
            <c:v>Investissement industriel</c:v>
          </c:tx>
          <c:spPr>
            <a:solidFill>
              <a:srgbClr val="00915A"/>
            </a:solidFill>
            <a:ln w="12700">
              <a:solidFill>
                <a:srgbClr val="000000"/>
              </a:solidFill>
              <a:prstDash val="solid"/>
            </a:ln>
          </c:spPr>
          <c:invertIfNegative val="0"/>
          <c:val>
            <c:numRef>
              <c:f>PrSept!#REF!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EABD-8C46-9E0A-7253C7F8908B}"/>
            </c:ext>
          </c:extLst>
        </c:ser>
        <c:dLbls>
          <c:showLegendKey val="0"/>
          <c:showVal val="0"/>
          <c:showCatName val="0"/>
          <c:showSerName val="0"/>
          <c:showPercent val="0"/>
          <c:showBubbleSize val="0"/>
        </c:dLbls>
        <c:gapWidth val="150"/>
        <c:axId val="1714665423"/>
        <c:axId val="1"/>
      </c:barChart>
      <c:lineChart>
        <c:grouping val="standard"/>
        <c:varyColors val="0"/>
        <c:ser>
          <c:idx val="0"/>
          <c:order val="0"/>
          <c:tx>
            <c:v>Investissement industriel / Dotation aux amortissements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PrSept!$E$297:$N$297</c:f>
              <c:numCache>
                <c:formatCode>0.0%;[Red]\(0.0%\)</c:formatCode>
                <c:ptCount val="10"/>
                <c:pt idx="0">
                  <c:v>3.1726845776363115</c:v>
                </c:pt>
                <c:pt idx="1">
                  <c:v>0.58178112596445686</c:v>
                </c:pt>
                <c:pt idx="2">
                  <c:v>0.93658803277877567</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EABD-8C46-9E0A-7253C7F8908B}"/>
            </c:ext>
          </c:extLst>
        </c:ser>
        <c:dLbls>
          <c:showLegendKey val="0"/>
          <c:showVal val="0"/>
          <c:showCatName val="0"/>
          <c:showSerName val="0"/>
          <c:showPercent val="0"/>
          <c:showBubbleSize val="0"/>
        </c:dLbls>
        <c:marker val="1"/>
        <c:smooth val="0"/>
        <c:axId val="3"/>
        <c:axId val="4"/>
      </c:lineChart>
      <c:catAx>
        <c:axId val="171466542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14665423"/>
        <c:crosses val="autoZero"/>
        <c:crossBetween val="midCat"/>
      </c:valAx>
      <c:catAx>
        <c:axId val="3"/>
        <c:scaling>
          <c:orientation val="minMax"/>
        </c:scaling>
        <c:delete val="0"/>
        <c:axPos val="b"/>
        <c:numFmt formatCode="General" sourceLinked="1"/>
        <c:majorTickMark val="none"/>
        <c:minorTickMark val="none"/>
        <c:tickLblPos val="none"/>
        <c:spPr>
          <a:ln w="6350">
            <a:noFill/>
          </a:ln>
        </c:spPr>
        <c:crossAx val="4"/>
        <c:crosses val="autoZero"/>
        <c:auto val="0"/>
        <c:lblAlgn val="ctr"/>
        <c:lblOffset val="100"/>
        <c:tickLblSkip val="1"/>
        <c:tickMarkSkip val="1"/>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ENDETTEMENT</a:t>
            </a:r>
          </a:p>
        </c:rich>
      </c:tx>
      <c:overlay val="0"/>
      <c:spPr>
        <a:noFill/>
        <a:ln w="25400">
          <a:noFill/>
        </a:ln>
      </c:spPr>
    </c:title>
    <c:autoTitleDeleted val="0"/>
    <c:plotArea>
      <c:layout/>
      <c:barChart>
        <c:barDir val="col"/>
        <c:grouping val="clustered"/>
        <c:varyColors val="0"/>
        <c:ser>
          <c:idx val="1"/>
          <c:order val="1"/>
          <c:tx>
            <c:v>Dettes financières totales / EBE retraité (en années)</c:v>
          </c:tx>
          <c:spPr>
            <a:solidFill>
              <a:srgbClr val="00915A"/>
            </a:solidFill>
            <a:ln w="12700">
              <a:solidFill>
                <a:srgbClr val="000000"/>
              </a:solidFill>
              <a:prstDash val="solid"/>
            </a:ln>
          </c:spPr>
          <c:invertIfNegative val="0"/>
          <c:val>
            <c:numRef>
              <c:f>PrSept!$E$293:$N$293</c:f>
              <c:numCache>
                <c:formatCode>#,##0.0_);[Red]\(#,##0.0\)</c:formatCode>
                <c:ptCount val="10"/>
                <c:pt idx="0">
                  <c:v>7.0709846698170802</c:v>
                </c:pt>
                <c:pt idx="1">
                  <c:v>3.8238772498578131</c:v>
                </c:pt>
                <c:pt idx="2">
                  <c:v>5.1181043680588614</c:v>
                </c:pt>
                <c:pt idx="3">
                  <c:v>0</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D44-7741-8864-6FD2D5338EA9}"/>
            </c:ext>
          </c:extLst>
        </c:ser>
        <c:dLbls>
          <c:showLegendKey val="0"/>
          <c:showVal val="0"/>
          <c:showCatName val="0"/>
          <c:showSerName val="0"/>
          <c:showPercent val="0"/>
          <c:showBubbleSize val="0"/>
        </c:dLbls>
        <c:gapWidth val="150"/>
        <c:axId val="1714698383"/>
        <c:axId val="1"/>
      </c:barChart>
      <c:lineChart>
        <c:grouping val="standard"/>
        <c:varyColors val="0"/>
        <c:ser>
          <c:idx val="0"/>
          <c:order val="0"/>
          <c:tx>
            <c:v>Dettes financières totales / Fonds propres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PrSept!$E$290:$N$290</c:f>
              <c:numCache>
                <c:formatCode>0.0%;[Red]\(0.0%\)</c:formatCode>
                <c:ptCount val="10"/>
                <c:pt idx="0">
                  <c:v>3.0162191909169009</c:v>
                </c:pt>
                <c:pt idx="1">
                  <c:v>2.3790958320607047</c:v>
                </c:pt>
                <c:pt idx="2">
                  <c:v>3.7167205179046161</c:v>
                </c:pt>
                <c:pt idx="3">
                  <c:v>0.83908554627025578</c:v>
                </c:pt>
                <c:pt idx="4">
                  <c:v>0.83908554627025578</c:v>
                </c:pt>
                <c:pt idx="5">
                  <c:v>0.83908554627025578</c:v>
                </c:pt>
                <c:pt idx="6">
                  <c:v>0.83908554627025578</c:v>
                </c:pt>
                <c:pt idx="7">
                  <c:v>0.83908554627025578</c:v>
                </c:pt>
                <c:pt idx="8">
                  <c:v>0.83908554627025578</c:v>
                </c:pt>
                <c:pt idx="9">
                  <c:v>0.83908554627025578</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D44-7741-8864-6FD2D5338EA9}"/>
            </c:ext>
          </c:extLst>
        </c:ser>
        <c:dLbls>
          <c:showLegendKey val="0"/>
          <c:showVal val="0"/>
          <c:showCatName val="0"/>
          <c:showSerName val="0"/>
          <c:showPercent val="0"/>
          <c:showBubbleSize val="0"/>
        </c:dLbls>
        <c:marker val="1"/>
        <c:smooth val="0"/>
        <c:axId val="3"/>
        <c:axId val="4"/>
      </c:lineChart>
      <c:catAx>
        <c:axId val="171469838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14698383"/>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RENTABILITE</a:t>
            </a:r>
          </a:p>
        </c:rich>
      </c:tx>
      <c:overlay val="0"/>
      <c:spPr>
        <a:noFill/>
        <a:ln w="25400">
          <a:noFill/>
        </a:ln>
      </c:spPr>
    </c:title>
    <c:autoTitleDeleted val="0"/>
    <c:plotArea>
      <c:layout/>
      <c:barChart>
        <c:barDir val="col"/>
        <c:grouping val="clustered"/>
        <c:varyColors val="0"/>
        <c:ser>
          <c:idx val="0"/>
          <c:order val="0"/>
          <c:tx>
            <c:v>RN / Fonds propres (%)</c:v>
          </c:tx>
          <c:spPr>
            <a:solidFill>
              <a:srgbClr val="00915A"/>
            </a:solidFill>
            <a:ln w="12700">
              <a:solidFill>
                <a:srgbClr val="2E86AB"/>
              </a:solidFill>
              <a:prstDash val="solid"/>
            </a:ln>
          </c:spPr>
          <c:invertIfNegative val="0"/>
          <c:val>
            <c:numRef>
              <c:f>PrSept!$E$277:$N$277</c:f>
              <c:numCache>
                <c:formatCode>0.0%;[Red]\(0.0%\)</c:formatCode>
                <c:ptCount val="10"/>
                <c:pt idx="0">
                  <c:v>0.17381836780293078</c:v>
                </c:pt>
                <c:pt idx="1">
                  <c:v>0.1557034570888928</c:v>
                </c:pt>
                <c:pt idx="2">
                  <c:v>0.17680814057951025</c:v>
                </c:pt>
                <c:pt idx="3">
                  <c:v>0</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B516-2A4D-85EA-E3B2927AF723}"/>
            </c:ext>
          </c:extLst>
        </c:ser>
        <c:dLbls>
          <c:showLegendKey val="0"/>
          <c:showVal val="0"/>
          <c:showCatName val="0"/>
          <c:showSerName val="0"/>
          <c:showPercent val="0"/>
          <c:showBubbleSize val="0"/>
        </c:dLbls>
        <c:gapWidth val="150"/>
        <c:axId val="3"/>
        <c:axId val="4"/>
      </c:barChart>
      <c:lineChart>
        <c:grouping val="standard"/>
        <c:varyColors val="0"/>
        <c:ser>
          <c:idx val="1"/>
          <c:order val="1"/>
          <c:tx>
            <c:v>RN / C.A. (%)</c:v>
          </c:tx>
          <c:spPr>
            <a:ln w="12700">
              <a:solidFill>
                <a:srgbClr val="2E86AB"/>
              </a:solidFill>
              <a:prstDash val="solid"/>
            </a:ln>
          </c:spPr>
          <c:marker>
            <c:symbol val="none"/>
          </c:marker>
          <c:val>
            <c:numRef>
              <c:f>PrSept!$E$274:$N$274</c:f>
              <c:numCache>
                <c:formatCode>0.0%;[Red]\(0.0%\)</c:formatCode>
                <c:ptCount val="10"/>
                <c:pt idx="0">
                  <c:v>2.5604289623350689E-2</c:v>
                </c:pt>
                <c:pt idx="1">
                  <c:v>2.353869425373948E-2</c:v>
                </c:pt>
                <c:pt idx="2">
                  <c:v>1.7180167417173847E-2</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B516-2A4D-85EA-E3B2927AF723}"/>
            </c:ext>
          </c:extLst>
        </c:ser>
        <c:ser>
          <c:idx val="2"/>
          <c:order val="2"/>
          <c:tx>
            <c:v>RN / Total Actif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PrSept!$E$278:$N$278</c:f>
              <c:numCache>
                <c:formatCode>0.0%;[Red]\(0.0%\)</c:formatCode>
                <c:ptCount val="10"/>
                <c:pt idx="0">
                  <c:v>2.8374982000478787E-2</c:v>
                </c:pt>
                <c:pt idx="1">
                  <c:v>2.5387160138827691E-2</c:v>
                </c:pt>
                <c:pt idx="2">
                  <c:v>2.5046891591653374E-2</c:v>
                </c:pt>
                <c:pt idx="3">
                  <c:v>0</c:v>
                </c:pt>
                <c:pt idx="4">
                  <c:v>0</c:v>
                </c:pt>
                <c:pt idx="5">
                  <c:v>0</c:v>
                </c:pt>
                <c:pt idx="6">
                  <c:v>0</c:v>
                </c:pt>
                <c:pt idx="7">
                  <c:v>0</c:v>
                </c:pt>
                <c:pt idx="8">
                  <c:v>0</c:v>
                </c:pt>
                <c:pt idx="9">
                  <c:v>0</c:v>
                </c:pt>
              </c:numCache>
            </c:numRef>
          </c:val>
          <c:smooth val="0"/>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B516-2A4D-85EA-E3B2927AF723}"/>
            </c:ext>
          </c:extLst>
        </c:ser>
        <c:dLbls>
          <c:showLegendKey val="0"/>
          <c:showVal val="0"/>
          <c:showCatName val="0"/>
          <c:showSerName val="0"/>
          <c:showPercent val="0"/>
          <c:showBubbleSize val="0"/>
        </c:dLbls>
        <c:marker val="1"/>
        <c:smooth val="0"/>
        <c:axId val="1714736191"/>
        <c:axId val="1"/>
      </c:lineChart>
      <c:catAx>
        <c:axId val="1714736191"/>
        <c:scaling>
          <c:orientation val="minMax"/>
        </c:scaling>
        <c:delete val="0"/>
        <c:axPos val="b"/>
        <c:numFmt formatCode="General" sourceLinked="1"/>
        <c:majorTickMark val="cross"/>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Rentabilité des ventes et des actifs</a:t>
                </a:r>
              </a:p>
            </c:rich>
          </c:tx>
          <c:overlay val="0"/>
          <c:spPr>
            <a:noFill/>
            <a:ln w="25400">
              <a:noFill/>
            </a:ln>
          </c:spPr>
        </c:title>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14736191"/>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title>
          <c:tx>
            <c:rich>
              <a:bodyPr/>
              <a:lstStyle/>
              <a:p>
                <a:pPr>
                  <a:defRPr sz="1000" b="1" i="0" u="none" strike="noStrike" baseline="0">
                    <a:solidFill>
                      <a:srgbClr val="000000"/>
                    </a:solidFill>
                    <a:latin typeface="Times New Roman"/>
                    <a:ea typeface="Times New Roman"/>
                    <a:cs typeface="Times New Roman"/>
                  </a:defRPr>
                </a:pPr>
                <a:r>
                  <a:rPr lang="fr-FR"/>
                  <a:t>Rentab. des Fnds propres</a:t>
                </a:r>
              </a:p>
            </c:rich>
          </c:tx>
          <c:overlay val="0"/>
          <c:spPr>
            <a:noFill/>
            <a:ln w="25400">
              <a:noFill/>
            </a:ln>
          </c:spPr>
        </c:title>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1"/>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paperSize="9" orientation="landscape" horizontalDpi="-4"/>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CHIFFRE D'AFFAIRES</a:t>
            </a:r>
          </a:p>
        </c:rich>
      </c:tx>
      <c:overlay val="0"/>
      <c:spPr>
        <a:noFill/>
        <a:ln w="25400">
          <a:noFill/>
        </a:ln>
      </c:spPr>
    </c:title>
    <c:autoTitleDeleted val="0"/>
    <c:plotArea>
      <c:layout/>
      <c:barChart>
        <c:barDir val="col"/>
        <c:grouping val="clustered"/>
        <c:varyColors val="0"/>
        <c:ser>
          <c:idx val="1"/>
          <c:order val="1"/>
          <c:tx>
            <c:v>Chiffre d'affaires</c:v>
          </c:tx>
          <c:spPr>
            <a:solidFill>
              <a:srgbClr val="00915A"/>
            </a:solidFill>
            <a:ln w="12700">
              <a:solidFill>
                <a:srgbClr val="000000"/>
              </a:solidFill>
              <a:prstDash val="solid"/>
            </a:ln>
          </c:spPr>
          <c:invertIfNegative val="0"/>
          <c:val>
            <c:numRef>
              <c:f>PrSept!$E$104:$N$104</c:f>
              <c:numCache>
                <c:formatCode>#,##0.0_);[Red]"Négatif !"</c:formatCode>
                <c:ptCount val="10"/>
                <c:pt idx="0">
                  <c:v>717966.67356999998</c:v>
                </c:pt>
                <c:pt idx="1">
                  <c:v>907795.82200000004</c:v>
                </c:pt>
                <c:pt idx="2">
                  <c:v>1616204.6810000001</c:v>
                </c:pt>
                <c:pt idx="3">
                  <c:v>1616204.6810000001</c:v>
                </c:pt>
                <c:pt idx="4">
                  <c:v>1616204.6810000001</c:v>
                </c:pt>
                <c:pt idx="5">
                  <c:v>1616204.6810000001</c:v>
                </c:pt>
                <c:pt idx="6">
                  <c:v>1616204.6810000001</c:v>
                </c:pt>
                <c:pt idx="7">
                  <c:v>1616204.6810000001</c:v>
                </c:pt>
                <c:pt idx="8">
                  <c:v>1616204.6810000001</c:v>
                </c:pt>
                <c:pt idx="9">
                  <c:v>1616204.6810000001</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BE1D-4441-95FB-0099EE139880}"/>
            </c:ext>
          </c:extLst>
        </c:ser>
        <c:dLbls>
          <c:showLegendKey val="0"/>
          <c:showVal val="0"/>
          <c:showCatName val="0"/>
          <c:showSerName val="0"/>
          <c:showPercent val="0"/>
          <c:showBubbleSize val="0"/>
        </c:dLbls>
        <c:gapWidth val="150"/>
        <c:axId val="1696533071"/>
        <c:axId val="1"/>
      </c:barChart>
      <c:lineChart>
        <c:grouping val="standard"/>
        <c:varyColors val="0"/>
        <c:ser>
          <c:idx val="0"/>
          <c:order val="0"/>
          <c:tx>
            <c:v>Croissance du C.A.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PrSept!#REF!</c:f>
              <c:numCache>
                <c:formatCode>General</c:formatCode>
                <c:ptCount val="1"/>
                <c:pt idx="0">
                  <c:v>1</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BE1D-4441-95FB-0099EE139880}"/>
            </c:ext>
          </c:extLst>
        </c:ser>
        <c:dLbls>
          <c:showLegendKey val="0"/>
          <c:showVal val="0"/>
          <c:showCatName val="0"/>
          <c:showSerName val="0"/>
          <c:showPercent val="0"/>
          <c:showBubbleSize val="0"/>
        </c:dLbls>
        <c:marker val="1"/>
        <c:smooth val="0"/>
        <c:axId val="3"/>
        <c:axId val="4"/>
      </c:lineChart>
      <c:catAx>
        <c:axId val="1696533071"/>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Millions de FRF</a:t>
                </a:r>
              </a:p>
            </c:rich>
          </c:tx>
          <c:overlay val="0"/>
          <c:spPr>
            <a:noFill/>
            <a:ln w="25400">
              <a:noFill/>
            </a:ln>
          </c:spPr>
        </c:title>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96533071"/>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EBE RETRAITE</a:t>
            </a:r>
          </a:p>
        </c:rich>
      </c:tx>
      <c:overlay val="0"/>
      <c:spPr>
        <a:noFill/>
        <a:ln w="25400">
          <a:noFill/>
        </a:ln>
      </c:spPr>
    </c:title>
    <c:autoTitleDeleted val="0"/>
    <c:plotArea>
      <c:layout/>
      <c:barChart>
        <c:barDir val="col"/>
        <c:grouping val="clustered"/>
        <c:varyColors val="0"/>
        <c:ser>
          <c:idx val="1"/>
          <c:order val="1"/>
          <c:tx>
            <c:v>EBE retraité</c:v>
          </c:tx>
          <c:spPr>
            <a:solidFill>
              <a:srgbClr val="00915A"/>
            </a:solidFill>
            <a:ln w="12700">
              <a:solidFill>
                <a:srgbClr val="000000"/>
              </a:solidFill>
              <a:prstDash val="solid"/>
            </a:ln>
          </c:spPr>
          <c:invertIfNegative val="0"/>
          <c:val>
            <c:numRef>
              <c:f>PrSept!$E$206:$N$206</c:f>
              <c:numCache>
                <c:formatCode>#,##0.0_);[Red]\(#,##0.0\)</c:formatCode>
                <c:ptCount val="10"/>
                <c:pt idx="0">
                  <c:v>6127.6695499999996</c:v>
                </c:pt>
                <c:pt idx="1">
                  <c:v>6938.5937011200003</c:v>
                </c:pt>
                <c:pt idx="2">
                  <c:v>6990.3630000000003</c:v>
                </c:pt>
                <c:pt idx="3">
                  <c:v>0</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2D6E-1448-B649-83DAE376F653}"/>
            </c:ext>
          </c:extLst>
        </c:ser>
        <c:ser>
          <c:idx val="2"/>
          <c:order val="2"/>
          <c:tx>
            <c:v>Excédent de Gestion Courante</c:v>
          </c:tx>
          <c:spPr>
            <a:solidFill>
              <a:srgbClr val="C9A227"/>
            </a:solidFill>
            <a:ln w="12700">
              <a:solidFill>
                <a:srgbClr val="000000"/>
              </a:solidFill>
              <a:prstDash val="solid"/>
            </a:ln>
          </c:spPr>
          <c:invertIfNegative val="0"/>
          <c:val>
            <c:numRef>
              <c:f>PrSept!$E$213:$N$213</c:f>
              <c:numCache>
                <c:formatCode>#,##0.0_);[Red]\(#,##0.0\)</c:formatCode>
                <c:ptCount val="10"/>
                <c:pt idx="0">
                  <c:v>136989.13402</c:v>
                </c:pt>
                <c:pt idx="1">
                  <c:v>-75891.518020000003</c:v>
                </c:pt>
                <c:pt idx="2">
                  <c:v>201339.30200000003</c:v>
                </c:pt>
                <c:pt idx="3">
                  <c:v>-331432.50400000002</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2D6E-1448-B649-83DAE376F653}"/>
            </c:ext>
          </c:extLst>
        </c:ser>
        <c:dLbls>
          <c:showLegendKey val="0"/>
          <c:showVal val="0"/>
          <c:showCatName val="0"/>
          <c:showSerName val="0"/>
          <c:showPercent val="0"/>
          <c:showBubbleSize val="0"/>
        </c:dLbls>
        <c:gapWidth val="150"/>
        <c:axId val="1695844495"/>
        <c:axId val="1"/>
      </c:barChart>
      <c:lineChart>
        <c:grouping val="standard"/>
        <c:varyColors val="0"/>
        <c:ser>
          <c:idx val="0"/>
          <c:order val="0"/>
          <c:tx>
            <c:v>EBE retraité / C.A.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PrSept!#REF!</c:f>
              <c:numCache>
                <c:formatCode>General</c:formatCode>
                <c:ptCount val="1"/>
                <c:pt idx="0">
                  <c:v>1</c:v>
                </c:pt>
              </c:numCache>
            </c:numRef>
          </c:val>
          <c:smooth val="0"/>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2D6E-1448-B649-83DAE376F653}"/>
            </c:ext>
          </c:extLst>
        </c:ser>
        <c:dLbls>
          <c:showLegendKey val="0"/>
          <c:showVal val="0"/>
          <c:showCatName val="0"/>
          <c:showSerName val="0"/>
          <c:showPercent val="0"/>
          <c:showBubbleSize val="0"/>
        </c:dLbls>
        <c:marker val="1"/>
        <c:smooth val="0"/>
        <c:axId val="3"/>
        <c:axId val="4"/>
      </c:lineChart>
      <c:catAx>
        <c:axId val="169584449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Millions de FRF</a:t>
                </a:r>
              </a:p>
            </c:rich>
          </c:tx>
          <c:overlay val="0"/>
          <c:spPr>
            <a:noFill/>
            <a:ln w="25400">
              <a:noFill/>
            </a:ln>
          </c:spPr>
        </c:title>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95844495"/>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 COUVERTURE DES OBLIG. FINANC.</a:t>
            </a:r>
          </a:p>
        </c:rich>
      </c:tx>
      <c:overlay val="0"/>
      <c:spPr>
        <a:noFill/>
        <a:ln w="25400">
          <a:noFill/>
        </a:ln>
      </c:spPr>
    </c:title>
    <c:autoTitleDeleted val="0"/>
    <c:plotArea>
      <c:layout/>
      <c:lineChart>
        <c:grouping val="standard"/>
        <c:varyColors val="0"/>
        <c:ser>
          <c:idx val="1"/>
          <c:order val="1"/>
          <c:tx>
            <c:v>EBE retraité - Invest. industriel / Service de la dette (%)</c:v>
          </c:tx>
          <c:spPr>
            <a:ln w="12700">
              <a:solidFill>
                <a:srgbClr val="6CBE99"/>
              </a:solidFill>
              <a:prstDash val="solid"/>
            </a:ln>
          </c:spPr>
          <c:marker>
            <c:symbol val="none"/>
          </c:marker>
          <c:val>
            <c:numRef>
              <c:f>PrSept!$E$284:$N$284</c:f>
              <c:numCache>
                <c:formatCode>0.0%;[Red]\(0.0%\)</c:formatCode>
                <c:ptCount val="10"/>
                <c:pt idx="0">
                  <c:v>0</c:v>
                </c:pt>
                <c:pt idx="1">
                  <c:v>0</c:v>
                </c:pt>
                <c:pt idx="2">
                  <c:v>0</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C9EB-A444-92B8-49048A283F81}"/>
            </c:ext>
          </c:extLst>
        </c:ser>
        <c:dLbls>
          <c:showLegendKey val="0"/>
          <c:showVal val="0"/>
          <c:showCatName val="0"/>
          <c:showSerName val="0"/>
          <c:showPercent val="0"/>
          <c:showBubbleSize val="0"/>
        </c:dLbls>
        <c:marker val="1"/>
        <c:smooth val="0"/>
        <c:axId val="1692526847"/>
        <c:axId val="1"/>
      </c:lineChart>
      <c:lineChart>
        <c:grouping val="standard"/>
        <c:varyColors val="1"/>
        <c:ser>
          <c:idx val="0"/>
          <c:order val="0"/>
          <c:tx>
            <c:v>EBE retraité / Résultat financier retraité (%)</c:v>
          </c:tx>
          <c:spPr>
            <a:ln w="12700">
              <a:solidFill>
                <a:srgbClr val="00573F"/>
              </a:solidFill>
              <a:prstDash val="solid"/>
            </a:ln>
          </c:spPr>
          <c:marker>
            <c:symbol val="circle"/>
            <c:size val="5"/>
            <c:spPr>
              <a:solidFill>
                <a:srgbClr val="00573F"/>
              </a:solidFill>
              <a:ln>
                <a:solidFill>
                  <a:srgbClr val="00573F"/>
                </a:solidFill>
                <a:prstDash val="solid"/>
              </a:ln>
            </c:spPr>
          </c:marker>
          <c:dPt>
            <c:idx val="0"/>
            <c:bubble3D val="0"/>
            <c:extLst>
              <c:ext xmlns:c16="http://schemas.microsoft.com/office/drawing/2014/chart" uri="{C3380CC4-5D6E-409C-BE32-E72D297353CC}">
                <c16:uniqueId val="{00000002-C9EB-A444-92B8-49048A283F81}"/>
              </c:ext>
            </c:extLst>
          </c:dPt>
          <c:dPt>
            <c:idx val="1"/>
            <c:bubble3D val="0"/>
            <c:extLst>
              <c:ext xmlns:c16="http://schemas.microsoft.com/office/drawing/2014/chart" uri="{C3380CC4-5D6E-409C-BE32-E72D297353CC}">
                <c16:uniqueId val="{00000004-C9EB-A444-92B8-49048A283F81}"/>
              </c:ext>
            </c:extLst>
          </c:dPt>
          <c:dPt>
            <c:idx val="2"/>
            <c:bubble3D val="0"/>
            <c:extLst>
              <c:ext xmlns:c16="http://schemas.microsoft.com/office/drawing/2014/chart" uri="{C3380CC4-5D6E-409C-BE32-E72D297353CC}">
                <c16:uniqueId val="{00000006-C9EB-A444-92B8-49048A283F81}"/>
              </c:ext>
            </c:extLst>
          </c:dPt>
          <c:dPt>
            <c:idx val="3"/>
            <c:bubble3D val="0"/>
            <c:extLst>
              <c:ext xmlns:c16="http://schemas.microsoft.com/office/drawing/2014/chart" uri="{C3380CC4-5D6E-409C-BE32-E72D297353CC}">
                <c16:uniqueId val="{00000008-C9EB-A444-92B8-49048A283F81}"/>
              </c:ext>
            </c:extLst>
          </c:dPt>
          <c:dPt>
            <c:idx val="4"/>
            <c:bubble3D val="0"/>
            <c:extLst>
              <c:ext xmlns:c16="http://schemas.microsoft.com/office/drawing/2014/chart" uri="{C3380CC4-5D6E-409C-BE32-E72D297353CC}">
                <c16:uniqueId val="{0000000A-C9EB-A444-92B8-49048A283F81}"/>
              </c:ext>
            </c:extLst>
          </c:dPt>
          <c:dPt>
            <c:idx val="5"/>
            <c:bubble3D val="0"/>
            <c:extLst>
              <c:ext xmlns:c16="http://schemas.microsoft.com/office/drawing/2014/chart" uri="{C3380CC4-5D6E-409C-BE32-E72D297353CC}">
                <c16:uniqueId val="{0000000C-C9EB-A444-92B8-49048A283F81}"/>
              </c:ext>
            </c:extLst>
          </c:dPt>
          <c:dPt>
            <c:idx val="6"/>
            <c:bubble3D val="0"/>
            <c:extLst>
              <c:ext xmlns:c16="http://schemas.microsoft.com/office/drawing/2014/chart" uri="{C3380CC4-5D6E-409C-BE32-E72D297353CC}">
                <c16:uniqueId val="{0000000E-C9EB-A444-92B8-49048A283F81}"/>
              </c:ext>
            </c:extLst>
          </c:dPt>
          <c:dPt>
            <c:idx val="7"/>
            <c:bubble3D val="0"/>
            <c:extLst>
              <c:ext xmlns:c16="http://schemas.microsoft.com/office/drawing/2014/chart" uri="{C3380CC4-5D6E-409C-BE32-E72D297353CC}">
                <c16:uniqueId val="{00000010-C9EB-A444-92B8-49048A283F81}"/>
              </c:ext>
            </c:extLst>
          </c:dPt>
          <c:dPt>
            <c:idx val="8"/>
            <c:bubble3D val="0"/>
            <c:extLst>
              <c:ext xmlns:c16="http://schemas.microsoft.com/office/drawing/2014/chart" uri="{C3380CC4-5D6E-409C-BE32-E72D297353CC}">
                <c16:uniqueId val="{00000012-C9EB-A444-92B8-49048A283F81}"/>
              </c:ext>
            </c:extLst>
          </c:dPt>
          <c:dPt>
            <c:idx val="9"/>
            <c:bubble3D val="0"/>
            <c:extLst>
              <c:ext xmlns:c16="http://schemas.microsoft.com/office/drawing/2014/chart" uri="{C3380CC4-5D6E-409C-BE32-E72D297353CC}">
                <c16:uniqueId val="{00000014-C9EB-A444-92B8-49048A283F81}"/>
              </c:ext>
            </c:extLst>
          </c:dPt>
          <c:val>
            <c:numRef>
              <c:f>PrSept!$E$281:$N$281</c:f>
              <c:numCache>
                <c:formatCode>0.0%;[Red]\(0.0%\)</c:formatCode>
                <c:ptCount val="10"/>
                <c:pt idx="0">
                  <c:v>6.3223488466144833</c:v>
                </c:pt>
                <c:pt idx="1">
                  <c:v>3.6609762378057713</c:v>
                </c:pt>
                <c:pt idx="2">
                  <c:v>2.1464456654602597</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15-C9EB-A444-92B8-49048A283F81}"/>
            </c:ext>
          </c:extLst>
        </c:ser>
        <c:dLbls>
          <c:showLegendKey val="0"/>
          <c:showVal val="0"/>
          <c:showCatName val="0"/>
          <c:showSerName val="0"/>
          <c:showPercent val="0"/>
          <c:showBubbleSize val="0"/>
        </c:dLbls>
        <c:marker val="1"/>
        <c:smooth val="0"/>
        <c:axId val="3"/>
        <c:axId val="4"/>
      </c:lineChart>
      <c:catAx>
        <c:axId val="1692526847"/>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0%;[Red]\(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92526847"/>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INVESTISSEMENT INDUSTRIEL</a:t>
            </a:r>
          </a:p>
        </c:rich>
      </c:tx>
      <c:overlay val="0"/>
      <c:spPr>
        <a:noFill/>
        <a:ln w="25400">
          <a:noFill/>
        </a:ln>
      </c:spPr>
    </c:title>
    <c:autoTitleDeleted val="0"/>
    <c:plotArea>
      <c:layout/>
      <c:barChart>
        <c:barDir val="col"/>
        <c:grouping val="clustered"/>
        <c:varyColors val="0"/>
        <c:ser>
          <c:idx val="1"/>
          <c:order val="1"/>
          <c:tx>
            <c:v>Investissement industriel</c:v>
          </c:tx>
          <c:spPr>
            <a:solidFill>
              <a:srgbClr val="00915A"/>
            </a:solidFill>
            <a:ln w="12700">
              <a:solidFill>
                <a:srgbClr val="000000"/>
              </a:solidFill>
              <a:prstDash val="solid"/>
            </a:ln>
          </c:spPr>
          <c:invertIfNegative val="0"/>
          <c:val>
            <c:numRef>
              <c:f>PrSept!#REF!</c:f>
              <c:numCache>
                <c:formatCode>General</c:formatCode>
                <c:ptCount val="1"/>
                <c:pt idx="0">
                  <c:v>1</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3386-394B-87F3-CEDEEEE22C2F}"/>
            </c:ext>
          </c:extLst>
        </c:ser>
        <c:dLbls>
          <c:showLegendKey val="0"/>
          <c:showVal val="0"/>
          <c:showCatName val="0"/>
          <c:showSerName val="0"/>
          <c:showPercent val="0"/>
          <c:showBubbleSize val="0"/>
        </c:dLbls>
        <c:gapWidth val="150"/>
        <c:axId val="1693443407"/>
        <c:axId val="1"/>
      </c:barChart>
      <c:lineChart>
        <c:grouping val="standard"/>
        <c:varyColors val="0"/>
        <c:ser>
          <c:idx val="0"/>
          <c:order val="0"/>
          <c:tx>
            <c:v>Investissement industriel / Dotation aux amortissements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PrSept!$E$297:$N$297</c:f>
              <c:numCache>
                <c:formatCode>0.0%;[Red]\(0.0%\)</c:formatCode>
                <c:ptCount val="10"/>
                <c:pt idx="0">
                  <c:v>3.1726845776363115</c:v>
                </c:pt>
                <c:pt idx="1">
                  <c:v>0.58178112596445686</c:v>
                </c:pt>
                <c:pt idx="2">
                  <c:v>0.93658803277877567</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3386-394B-87F3-CEDEEEE22C2F}"/>
            </c:ext>
          </c:extLst>
        </c:ser>
        <c:dLbls>
          <c:showLegendKey val="0"/>
          <c:showVal val="0"/>
          <c:showCatName val="0"/>
          <c:showSerName val="0"/>
          <c:showPercent val="0"/>
          <c:showBubbleSize val="0"/>
        </c:dLbls>
        <c:marker val="1"/>
        <c:smooth val="0"/>
        <c:axId val="3"/>
        <c:axId val="4"/>
      </c:lineChart>
      <c:catAx>
        <c:axId val="1693443407"/>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93443407"/>
        <c:crosses val="autoZero"/>
        <c:crossBetween val="midCat"/>
      </c:valAx>
      <c:catAx>
        <c:axId val="3"/>
        <c:scaling>
          <c:orientation val="minMax"/>
        </c:scaling>
        <c:delete val="0"/>
        <c:axPos val="b"/>
        <c:numFmt formatCode="General" sourceLinked="1"/>
        <c:majorTickMark val="none"/>
        <c:minorTickMark val="none"/>
        <c:tickLblPos val="none"/>
        <c:spPr>
          <a:ln w="6350">
            <a:noFill/>
          </a:ln>
        </c:spPr>
        <c:crossAx val="4"/>
        <c:crosses val="autoZero"/>
        <c:auto val="0"/>
        <c:lblAlgn val="ctr"/>
        <c:lblOffset val="100"/>
        <c:tickLblSkip val="1"/>
        <c:tickMarkSkip val="1"/>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ENDETTEMENT</a:t>
            </a:r>
          </a:p>
        </c:rich>
      </c:tx>
      <c:overlay val="0"/>
      <c:spPr>
        <a:noFill/>
        <a:ln w="25400">
          <a:noFill/>
        </a:ln>
      </c:spPr>
    </c:title>
    <c:autoTitleDeleted val="0"/>
    <c:plotArea>
      <c:layout/>
      <c:barChart>
        <c:barDir val="col"/>
        <c:grouping val="clustered"/>
        <c:varyColors val="0"/>
        <c:ser>
          <c:idx val="1"/>
          <c:order val="1"/>
          <c:tx>
            <c:v>Dettes financières totales / EBE retraité (en années)</c:v>
          </c:tx>
          <c:spPr>
            <a:solidFill>
              <a:srgbClr val="00915A"/>
            </a:solidFill>
            <a:ln w="12700">
              <a:solidFill>
                <a:srgbClr val="000000"/>
              </a:solidFill>
              <a:prstDash val="solid"/>
            </a:ln>
          </c:spPr>
          <c:invertIfNegative val="0"/>
          <c:val>
            <c:numRef>
              <c:f>PrSept!$E$293:$N$293</c:f>
              <c:numCache>
                <c:formatCode>#,##0.0_);[Red]\(#,##0.0\)</c:formatCode>
                <c:ptCount val="10"/>
                <c:pt idx="0">
                  <c:v>7.0709846698170802</c:v>
                </c:pt>
                <c:pt idx="1">
                  <c:v>3.8238772498578131</c:v>
                </c:pt>
                <c:pt idx="2">
                  <c:v>5.1181043680588614</c:v>
                </c:pt>
                <c:pt idx="3">
                  <c:v>0</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7A20-5748-8429-FDA433F1067E}"/>
            </c:ext>
          </c:extLst>
        </c:ser>
        <c:dLbls>
          <c:showLegendKey val="0"/>
          <c:showVal val="0"/>
          <c:showCatName val="0"/>
          <c:showSerName val="0"/>
          <c:showPercent val="0"/>
          <c:showBubbleSize val="0"/>
        </c:dLbls>
        <c:gapWidth val="150"/>
        <c:axId val="1674297983"/>
        <c:axId val="1"/>
      </c:barChart>
      <c:lineChart>
        <c:grouping val="standard"/>
        <c:varyColors val="0"/>
        <c:ser>
          <c:idx val="0"/>
          <c:order val="0"/>
          <c:tx>
            <c:v>Dettes financières totales / Fonds propres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PrSept!$E$290:$N$290</c:f>
              <c:numCache>
                <c:formatCode>0.0%;[Red]\(0.0%\)</c:formatCode>
                <c:ptCount val="10"/>
                <c:pt idx="0">
                  <c:v>3.0162191909169009</c:v>
                </c:pt>
                <c:pt idx="1">
                  <c:v>2.3790958320607047</c:v>
                </c:pt>
                <c:pt idx="2">
                  <c:v>3.7167205179046161</c:v>
                </c:pt>
                <c:pt idx="3">
                  <c:v>0.83908554627025578</c:v>
                </c:pt>
                <c:pt idx="4">
                  <c:v>0.83908554627025578</c:v>
                </c:pt>
                <c:pt idx="5">
                  <c:v>0.83908554627025578</c:v>
                </c:pt>
                <c:pt idx="6">
                  <c:v>0.83908554627025578</c:v>
                </c:pt>
                <c:pt idx="7">
                  <c:v>0.83908554627025578</c:v>
                </c:pt>
                <c:pt idx="8">
                  <c:v>0.83908554627025578</c:v>
                </c:pt>
                <c:pt idx="9">
                  <c:v>0.83908554627025578</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7A20-5748-8429-FDA433F1067E}"/>
            </c:ext>
          </c:extLst>
        </c:ser>
        <c:dLbls>
          <c:showLegendKey val="0"/>
          <c:showVal val="0"/>
          <c:showCatName val="0"/>
          <c:showSerName val="0"/>
          <c:showPercent val="0"/>
          <c:showBubbleSize val="0"/>
        </c:dLbls>
        <c:marker val="1"/>
        <c:smooth val="0"/>
        <c:axId val="3"/>
        <c:axId val="4"/>
      </c:lineChart>
      <c:catAx>
        <c:axId val="1674297983"/>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74297983"/>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General"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RENTABILITE</a:t>
            </a:r>
          </a:p>
        </c:rich>
      </c:tx>
      <c:overlay val="0"/>
      <c:spPr>
        <a:noFill/>
        <a:ln w="25400">
          <a:noFill/>
        </a:ln>
      </c:spPr>
    </c:title>
    <c:autoTitleDeleted val="0"/>
    <c:plotArea>
      <c:layout/>
      <c:barChart>
        <c:barDir val="col"/>
        <c:grouping val="clustered"/>
        <c:varyColors val="0"/>
        <c:ser>
          <c:idx val="0"/>
          <c:order val="0"/>
          <c:tx>
            <c:v>RN / Fonds propres (%)</c:v>
          </c:tx>
          <c:spPr>
            <a:solidFill>
              <a:srgbClr val="00915A"/>
            </a:solidFill>
            <a:ln w="12700">
              <a:solidFill>
                <a:srgbClr val="2E86AB"/>
              </a:solidFill>
              <a:prstDash val="solid"/>
            </a:ln>
          </c:spPr>
          <c:invertIfNegative val="0"/>
          <c:val>
            <c:numRef>
              <c:f>PrSept!$E$277:$N$277</c:f>
              <c:numCache>
                <c:formatCode>0.0%;[Red]\(0.0%\)</c:formatCode>
                <c:ptCount val="10"/>
                <c:pt idx="0">
                  <c:v>0.17381836780293078</c:v>
                </c:pt>
                <c:pt idx="1">
                  <c:v>0.1557034570888928</c:v>
                </c:pt>
                <c:pt idx="2">
                  <c:v>0.17680814057951025</c:v>
                </c:pt>
                <c:pt idx="3">
                  <c:v>0</c:v>
                </c:pt>
                <c:pt idx="4">
                  <c:v>0</c:v>
                </c:pt>
                <c:pt idx="5">
                  <c:v>0</c:v>
                </c:pt>
                <c:pt idx="6">
                  <c:v>0</c:v>
                </c:pt>
                <c:pt idx="7">
                  <c:v>0</c:v>
                </c:pt>
                <c:pt idx="8">
                  <c:v>0</c:v>
                </c:pt>
                <c:pt idx="9">
                  <c:v>0</c:v>
                </c:pt>
              </c:numCache>
            </c:numRef>
          </c:val>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0-7571-9346-A7FA-3761EB3F2479}"/>
            </c:ext>
          </c:extLst>
        </c:ser>
        <c:dLbls>
          <c:showLegendKey val="0"/>
          <c:showVal val="0"/>
          <c:showCatName val="0"/>
          <c:showSerName val="0"/>
          <c:showPercent val="0"/>
          <c:showBubbleSize val="0"/>
        </c:dLbls>
        <c:gapWidth val="150"/>
        <c:axId val="3"/>
        <c:axId val="4"/>
      </c:barChart>
      <c:lineChart>
        <c:grouping val="standard"/>
        <c:varyColors val="0"/>
        <c:ser>
          <c:idx val="1"/>
          <c:order val="1"/>
          <c:tx>
            <c:v>RN / C.A. (%)</c:v>
          </c:tx>
          <c:spPr>
            <a:ln w="12700">
              <a:solidFill>
                <a:srgbClr val="2E86AB"/>
              </a:solidFill>
              <a:prstDash val="solid"/>
            </a:ln>
          </c:spPr>
          <c:marker>
            <c:symbol val="none"/>
          </c:marker>
          <c:val>
            <c:numRef>
              <c:f>PrSept!$E$274:$N$274</c:f>
              <c:numCache>
                <c:formatCode>0.0%;[Red]\(0.0%\)</c:formatCode>
                <c:ptCount val="10"/>
                <c:pt idx="0">
                  <c:v>2.5604289623350689E-2</c:v>
                </c:pt>
                <c:pt idx="1">
                  <c:v>2.353869425373948E-2</c:v>
                </c:pt>
                <c:pt idx="2">
                  <c:v>1.7180167417173847E-2</c:v>
                </c:pt>
                <c:pt idx="3">
                  <c:v>0</c:v>
                </c:pt>
                <c:pt idx="4">
                  <c:v>0</c:v>
                </c:pt>
                <c:pt idx="5">
                  <c:v>0</c:v>
                </c:pt>
                <c:pt idx="6">
                  <c:v>0</c:v>
                </c:pt>
                <c:pt idx="7">
                  <c:v>0</c:v>
                </c:pt>
                <c:pt idx="8">
                  <c:v>0</c:v>
                </c:pt>
                <c:pt idx="9">
                  <c:v>0</c:v>
                </c:pt>
              </c:numCache>
            </c:numRef>
          </c:val>
          <c:smooth val="1"/>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1-7571-9346-A7FA-3761EB3F2479}"/>
            </c:ext>
          </c:extLst>
        </c:ser>
        <c:ser>
          <c:idx val="2"/>
          <c:order val="2"/>
          <c:tx>
            <c:v>RN / Total Actif (%)</c:v>
          </c:tx>
          <c:spPr>
            <a:ln w="12700">
              <a:solidFill>
                <a:srgbClr val="00573F"/>
              </a:solidFill>
              <a:prstDash val="solid"/>
            </a:ln>
          </c:spPr>
          <c:marker>
            <c:symbol val="circle"/>
            <c:size val="5"/>
            <c:spPr>
              <a:solidFill>
                <a:srgbClr val="00573F"/>
              </a:solidFill>
              <a:ln>
                <a:solidFill>
                  <a:srgbClr val="00573F"/>
                </a:solidFill>
                <a:prstDash val="solid"/>
              </a:ln>
            </c:spPr>
          </c:marker>
          <c:val>
            <c:numRef>
              <c:f>PrSept!$E$278:$N$278</c:f>
              <c:numCache>
                <c:formatCode>0.0%;[Red]\(0.0%\)</c:formatCode>
                <c:ptCount val="10"/>
                <c:pt idx="0">
                  <c:v>2.8374982000478787E-2</c:v>
                </c:pt>
                <c:pt idx="1">
                  <c:v>2.5387160138827691E-2</c:v>
                </c:pt>
                <c:pt idx="2">
                  <c:v>2.5046891591653374E-2</c:v>
                </c:pt>
                <c:pt idx="3">
                  <c:v>0</c:v>
                </c:pt>
                <c:pt idx="4">
                  <c:v>0</c:v>
                </c:pt>
                <c:pt idx="5">
                  <c:v>0</c:v>
                </c:pt>
                <c:pt idx="6">
                  <c:v>0</c:v>
                </c:pt>
                <c:pt idx="7">
                  <c:v>0</c:v>
                </c:pt>
                <c:pt idx="8">
                  <c:v>0</c:v>
                </c:pt>
                <c:pt idx="9">
                  <c:v>0</c:v>
                </c:pt>
              </c:numCache>
            </c:numRef>
          </c:val>
          <c:smooth val="0"/>
          <c:extLst>
            <c:ext xmlns:c15="http://schemas.microsoft.com/office/drawing/2012/chart" uri="{02D57815-91ED-43cb-92C2-25804820EDAC}">
              <c15:filteredCategoryTitle>
                <c15:cat>
                  <c:numRef>
                    <c:extLst>
                      <c:ext uri="{02D57815-91ED-43cb-92C2-25804820EDAC}">
                        <c15:formulaRef>
                          <c15:sqref>PrSept!#REF!</c15:sqref>
                        </c15:formulaRef>
                      </c:ext>
                    </c:extLst>
                    <c:numCache>
                      <c:formatCode>General</c:formatCode>
                      <c:ptCount val="1"/>
                      <c:pt idx="0">
                        <c:v>1</c:v>
                      </c:pt>
                    </c:numCache>
                  </c:numRef>
                </c15:cat>
              </c15:filteredCategoryTitle>
            </c:ext>
            <c:ext xmlns:c16="http://schemas.microsoft.com/office/drawing/2014/chart" uri="{C3380CC4-5D6E-409C-BE32-E72D297353CC}">
              <c16:uniqueId val="{00000002-7571-9346-A7FA-3761EB3F2479}"/>
            </c:ext>
          </c:extLst>
        </c:ser>
        <c:dLbls>
          <c:showLegendKey val="0"/>
          <c:showVal val="0"/>
          <c:showCatName val="0"/>
          <c:showSerName val="0"/>
          <c:showPercent val="0"/>
          <c:showBubbleSize val="0"/>
        </c:dLbls>
        <c:marker val="1"/>
        <c:smooth val="0"/>
        <c:axId val="1692558255"/>
        <c:axId val="1"/>
      </c:lineChart>
      <c:catAx>
        <c:axId val="1692558255"/>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Rentabilité des ventes et des actifs</a:t>
                </a:r>
              </a:p>
            </c:rich>
          </c:tx>
          <c:overlay val="0"/>
          <c:spPr>
            <a:noFill/>
            <a:ln w="25400">
              <a:noFill/>
            </a:ln>
          </c:spPr>
        </c:title>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92558255"/>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title>
          <c:tx>
            <c:rich>
              <a:bodyPr/>
              <a:lstStyle/>
              <a:p>
                <a:pPr>
                  <a:defRPr sz="1000" b="1" i="0" u="none" strike="noStrike" baseline="0">
                    <a:solidFill>
                      <a:srgbClr val="000000"/>
                    </a:solidFill>
                    <a:latin typeface="Times New Roman"/>
                    <a:ea typeface="Times New Roman"/>
                    <a:cs typeface="Times New Roman"/>
                  </a:defRPr>
                </a:pPr>
                <a:r>
                  <a:rPr lang="fr-FR"/>
                  <a:t>Rentab. des Fnds propres</a:t>
                </a:r>
              </a:p>
            </c:rich>
          </c:tx>
          <c:overlay val="0"/>
          <c:spPr>
            <a:noFill/>
            <a:ln w="25400">
              <a:noFill/>
            </a:ln>
          </c:spPr>
        </c:title>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r"/>
      <c:legendEntry>
        <c:idx val="1"/>
        <c:txPr>
          <a:bodyPr/>
          <a:lstStyle/>
          <a:p>
            <a:pPr>
              <a:defRPr sz="735" b="0" i="0" u="none" strike="noStrike" baseline="0">
                <a:solidFill>
                  <a:srgbClr val="000000"/>
                </a:solidFill>
                <a:latin typeface="Times New Roman"/>
                <a:ea typeface="Times New Roman"/>
                <a:cs typeface="Times New Roman"/>
              </a:defRPr>
            </a:pPr>
            <a:endParaRPr lang="fr-FR"/>
          </a:p>
        </c:txPr>
      </c:legendEntry>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paperSize="9" orientation="landscape" horizontalDpi="-4"/>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CHIFFRE D'AFFAIRES</a:t>
            </a:r>
          </a:p>
        </c:rich>
      </c:tx>
      <c:layout>
        <c:manualLayout>
          <c:xMode val="edge"/>
          <c:yMode val="edge"/>
          <c:x val="0.31285949647827876"/>
          <c:y val="3.4130769970297022E-2"/>
        </c:manualLayout>
      </c:layout>
      <c:overlay val="0"/>
      <c:spPr>
        <a:noFill/>
        <a:ln w="25400">
          <a:noFill/>
        </a:ln>
      </c:spPr>
    </c:title>
    <c:autoTitleDeleted val="0"/>
    <c:plotArea>
      <c:layout>
        <c:manualLayout>
          <c:layoutTarget val="inner"/>
          <c:xMode val="edge"/>
          <c:yMode val="edge"/>
          <c:x val="0.17598346676903182"/>
          <c:y val="0.15358846486633659"/>
          <c:w val="0.71790080888319319"/>
          <c:h val="0.66213693742376223"/>
        </c:manualLayout>
      </c:layout>
      <c:barChart>
        <c:barDir val="col"/>
        <c:grouping val="clustered"/>
        <c:varyColors val="0"/>
        <c:ser>
          <c:idx val="1"/>
          <c:order val="1"/>
          <c:tx>
            <c:v>  Chiffre d'affaires</c:v>
          </c:tx>
          <c:spPr>
            <a:solidFill>
              <a:srgbClr val="00915A"/>
            </a:solidFill>
            <a:ln w="12700">
              <a:solidFill>
                <a:srgbClr val="000000"/>
              </a:solidFill>
              <a:prstDash val="solid"/>
            </a:ln>
          </c:spPr>
          <c:invertIfNegative val="0"/>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PrSept!$E$104:$N$104</c:f>
              <c:numCache>
                <c:formatCode>#,##0.0_);[Red]"Négatif !"</c:formatCode>
                <c:ptCount val="10"/>
                <c:pt idx="0">
                  <c:v>717966.67356999998</c:v>
                </c:pt>
                <c:pt idx="1">
                  <c:v>907795.82200000004</c:v>
                </c:pt>
                <c:pt idx="2">
                  <c:v>1616204.6810000001</c:v>
                </c:pt>
                <c:pt idx="3">
                  <c:v>1616204.6810000001</c:v>
                </c:pt>
                <c:pt idx="4">
                  <c:v>1616204.6810000001</c:v>
                </c:pt>
                <c:pt idx="5">
                  <c:v>1616204.6810000001</c:v>
                </c:pt>
                <c:pt idx="6">
                  <c:v>1616204.6810000001</c:v>
                </c:pt>
                <c:pt idx="7">
                  <c:v>1616204.6810000001</c:v>
                </c:pt>
                <c:pt idx="8">
                  <c:v>1616204.6810000001</c:v>
                </c:pt>
                <c:pt idx="9">
                  <c:v>1616204.6810000001</c:v>
                </c:pt>
              </c:numCache>
            </c:numRef>
          </c:val>
          <c:extLst>
            <c:ext xmlns:c16="http://schemas.microsoft.com/office/drawing/2014/chart" uri="{C3380CC4-5D6E-409C-BE32-E72D297353CC}">
              <c16:uniqueId val="{00000000-ED4F-E349-9847-FC60E5AC9FDA}"/>
            </c:ext>
          </c:extLst>
        </c:ser>
        <c:dLbls>
          <c:showLegendKey val="0"/>
          <c:showVal val="0"/>
          <c:showCatName val="0"/>
          <c:showSerName val="0"/>
          <c:showPercent val="0"/>
          <c:showBubbleSize val="0"/>
        </c:dLbls>
        <c:gapWidth val="150"/>
        <c:axId val="1708598831"/>
        <c:axId val="1"/>
      </c:barChart>
      <c:lineChart>
        <c:grouping val="standard"/>
        <c:varyColors val="0"/>
        <c:ser>
          <c:idx val="0"/>
          <c:order val="0"/>
          <c:tx>
            <c:v>  Croissance (annualisée) du C.A. (%)  </c:v>
          </c:tx>
          <c:spPr>
            <a:ln w="12700">
              <a:solidFill>
                <a:srgbClr val="00573F"/>
              </a:solidFill>
              <a:prstDash val="solid"/>
            </a:ln>
          </c:spPr>
          <c:marker>
            <c:symbol val="circle"/>
            <c:size val="5"/>
            <c:spPr>
              <a:solidFill>
                <a:srgbClr val="00573F"/>
              </a:solidFill>
              <a:ln>
                <a:solidFill>
                  <a:srgbClr val="00573F"/>
                </a:solidFill>
                <a:prstDash val="solid"/>
              </a:ln>
            </c:spPr>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PrSept!$E$105:$N$105</c:f>
              <c:numCache>
                <c:formatCode>0.0%;[Red]\(0.0%\)</c:formatCode>
                <c:ptCount val="10"/>
                <c:pt idx="0">
                  <c:v>4.1606827575239036</c:v>
                </c:pt>
                <c:pt idx="1">
                  <c:v>0.17156903253155531</c:v>
                </c:pt>
                <c:pt idx="2">
                  <c:v>0.92669252216949483</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ED4F-E349-9847-FC60E5AC9FDA}"/>
            </c:ext>
          </c:extLst>
        </c:ser>
        <c:dLbls>
          <c:showLegendKey val="0"/>
          <c:showVal val="0"/>
          <c:showCatName val="0"/>
          <c:showSerName val="0"/>
          <c:showPercent val="0"/>
          <c:showBubbleSize val="0"/>
        </c:dLbls>
        <c:marker val="1"/>
        <c:smooth val="0"/>
        <c:axId val="3"/>
        <c:axId val="4"/>
      </c:lineChart>
      <c:catAx>
        <c:axId val="1708598831"/>
        <c:scaling>
          <c:orientation val="minMax"/>
        </c:scaling>
        <c:delete val="0"/>
        <c:axPos val="b"/>
        <c:numFmt formatCode="yy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En Montant</a:t>
                </a:r>
              </a:p>
            </c:rich>
          </c:tx>
          <c:layout>
            <c:manualLayout>
              <c:xMode val="edge"/>
              <c:yMode val="edge"/>
              <c:x val="1.3966941807066017E-2"/>
              <c:y val="0.38909077766138606"/>
            </c:manualLayout>
          </c:layout>
          <c:overlay val="0"/>
          <c:spPr>
            <a:noFill/>
            <a:ln w="25400">
              <a:noFill/>
            </a:ln>
          </c:spPr>
        </c:title>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08598831"/>
        <c:crosses val="autoZero"/>
        <c:crossBetween val="midCat"/>
      </c:valAx>
      <c:catAx>
        <c:axId val="3"/>
        <c:scaling>
          <c:orientation val="minMax"/>
        </c:scaling>
        <c:delete val="1"/>
        <c:axPos val="b"/>
        <c:numFmt formatCode="yyyy"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layout>
        <c:manualLayout>
          <c:xMode val="edge"/>
          <c:yMode val="edge"/>
          <c:x val="2.5140495252718827E-2"/>
          <c:y val="0.8874000192277226"/>
          <c:w val="0.4413553611032861"/>
          <c:h val="9.5566155916831666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paperSize="9" orientation="landscape" horizontalDpi="-4"/>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EBE</a:t>
            </a:r>
          </a:p>
        </c:rich>
      </c:tx>
      <c:layout>
        <c:manualLayout>
          <c:xMode val="edge"/>
          <c:yMode val="edge"/>
          <c:x val="0.45295510120366372"/>
          <c:y val="2.7304615976237619E-2"/>
        </c:manualLayout>
      </c:layout>
      <c:overlay val="0"/>
      <c:spPr>
        <a:noFill/>
        <a:ln w="25400">
          <a:noFill/>
        </a:ln>
      </c:spPr>
    </c:title>
    <c:autoTitleDeleted val="0"/>
    <c:plotArea>
      <c:layout>
        <c:manualLayout>
          <c:layoutTarget val="inner"/>
          <c:xMode val="edge"/>
          <c:yMode val="edge"/>
          <c:x val="0.20000614858343593"/>
          <c:y val="0.16382769585742571"/>
          <c:w val="0.70590405382389154"/>
          <c:h val="0.60070155147722759"/>
        </c:manualLayout>
      </c:layout>
      <c:barChart>
        <c:barDir val="col"/>
        <c:grouping val="clustered"/>
        <c:varyColors val="0"/>
        <c:ser>
          <c:idx val="1"/>
          <c:order val="1"/>
          <c:tx>
            <c:v>  EBE</c:v>
          </c:tx>
          <c:spPr>
            <a:solidFill>
              <a:srgbClr val="00915A"/>
            </a:solidFill>
            <a:ln w="12700">
              <a:solidFill>
                <a:srgbClr val="000000"/>
              </a:solidFill>
              <a:prstDash val="solid"/>
            </a:ln>
          </c:spPr>
          <c:invertIfNegative val="0"/>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PrSept!$E$135:$N$135</c:f>
              <c:numCache>
                <c:formatCode>#,##0.0_);[Red]\(#,##0.0\)</c:formatCode>
                <c:ptCount val="10"/>
                <c:pt idx="0">
                  <c:v>45113.27464999997</c:v>
                </c:pt>
                <c:pt idx="1">
                  <c:v>85384.745000000097</c:v>
                </c:pt>
                <c:pt idx="2">
                  <c:v>114043.95300000008</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6C1-2849-BF25-D58835A9BE72}"/>
            </c:ext>
          </c:extLst>
        </c:ser>
        <c:ser>
          <c:idx val="2"/>
          <c:order val="2"/>
          <c:tx>
            <c:v>  Cashflow d'Exploitation Net</c:v>
          </c:tx>
          <c:spPr>
            <a:solidFill>
              <a:srgbClr val="C9A227"/>
            </a:solidFill>
            <a:ln w="12700">
              <a:solidFill>
                <a:srgbClr val="000000"/>
              </a:solidFill>
              <a:prstDash val="solid"/>
            </a:ln>
          </c:spPr>
          <c:invertIfNegative val="0"/>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PrSept!$E$216:$N$216</c:f>
              <c:numCache>
                <c:formatCode>#,##0.0_);[Red]\ \(#,##0.0\)</c:formatCode>
                <c:ptCount val="10"/>
                <c:pt idx="0">
                  <c:v>-32301.38706999999</c:v>
                </c:pt>
                <c:pt idx="1">
                  <c:v>-98412.247794453258</c:v>
                </c:pt>
                <c:pt idx="2">
                  <c:v>-184254.69699999987</c:v>
                </c:pt>
                <c:pt idx="3" formatCode="#,##0.0_);[Red]\(#,##0.0\)">
                  <c:v>531460.38800000004</c:v>
                </c:pt>
                <c:pt idx="4" formatCode="#,##0.0_);[Red]\(#,##0.0\)">
                  <c:v>0</c:v>
                </c:pt>
                <c:pt idx="5" formatCode="#,##0.0_);[Red]\(#,##0.0\)">
                  <c:v>0</c:v>
                </c:pt>
                <c:pt idx="6" formatCode="#,##0.0_);[Red]\(#,##0.0\)">
                  <c:v>0</c:v>
                </c:pt>
                <c:pt idx="7" formatCode="#,##0.0_);[Red]\(#,##0.0\)">
                  <c:v>0</c:v>
                </c:pt>
                <c:pt idx="8" formatCode="#,##0.0_);[Red]\(#,##0.0\)">
                  <c:v>0</c:v>
                </c:pt>
                <c:pt idx="9" formatCode="#,##0.0_);[Red]\(#,##0.0\)">
                  <c:v>0</c:v>
                </c:pt>
              </c:numCache>
            </c:numRef>
          </c:val>
          <c:extLst>
            <c:ext xmlns:c16="http://schemas.microsoft.com/office/drawing/2014/chart" uri="{C3380CC4-5D6E-409C-BE32-E72D297353CC}">
              <c16:uniqueId val="{00000001-76C1-2849-BF25-D58835A9BE72}"/>
            </c:ext>
          </c:extLst>
        </c:ser>
        <c:dLbls>
          <c:showLegendKey val="0"/>
          <c:showVal val="0"/>
          <c:showCatName val="0"/>
          <c:showSerName val="0"/>
          <c:showPercent val="0"/>
          <c:showBubbleSize val="0"/>
        </c:dLbls>
        <c:gapWidth val="150"/>
        <c:axId val="1708204463"/>
        <c:axId val="1"/>
      </c:barChart>
      <c:lineChart>
        <c:grouping val="standard"/>
        <c:varyColors val="0"/>
        <c:ser>
          <c:idx val="0"/>
          <c:order val="0"/>
          <c:tx>
            <c:v>  EBE / C.A. (%)</c:v>
          </c:tx>
          <c:spPr>
            <a:ln w="12700">
              <a:solidFill>
                <a:srgbClr val="00573F"/>
              </a:solidFill>
              <a:prstDash val="solid"/>
            </a:ln>
          </c:spPr>
          <c:marker>
            <c:symbol val="circle"/>
            <c:size val="5"/>
            <c:spPr>
              <a:solidFill>
                <a:srgbClr val="00573F"/>
              </a:solidFill>
              <a:ln>
                <a:solidFill>
                  <a:srgbClr val="00573F"/>
                </a:solidFill>
                <a:prstDash val="solid"/>
              </a:ln>
            </c:spPr>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PrSept!$E$136:$N$136</c:f>
              <c:numCache>
                <c:formatCode>0.0%;[Red]\(0.0%\)</c:formatCode>
                <c:ptCount val="10"/>
                <c:pt idx="0">
                  <c:v>6.2834775360365719E-2</c:v>
                </c:pt>
                <c:pt idx="1">
                  <c:v>9.4057213010614732E-2</c:v>
                </c:pt>
                <c:pt idx="2">
                  <c:v>7.056281567594351E-2</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2-76C1-2849-BF25-D58835A9BE72}"/>
            </c:ext>
          </c:extLst>
        </c:ser>
        <c:dLbls>
          <c:showLegendKey val="0"/>
          <c:showVal val="0"/>
          <c:showCatName val="0"/>
          <c:showSerName val="0"/>
          <c:showPercent val="0"/>
          <c:showBubbleSize val="0"/>
        </c:dLbls>
        <c:marker val="1"/>
        <c:smooth val="0"/>
        <c:axId val="3"/>
        <c:axId val="4"/>
      </c:lineChart>
      <c:catAx>
        <c:axId val="1708204463"/>
        <c:scaling>
          <c:orientation val="minMax"/>
        </c:scaling>
        <c:delete val="0"/>
        <c:axPos val="b"/>
        <c:numFmt formatCode="yyyy" sourceLinked="1"/>
        <c:majorTickMark val="cross"/>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En Montant</a:t>
                </a:r>
              </a:p>
            </c:rich>
          </c:tx>
          <c:layout>
            <c:manualLayout>
              <c:xMode val="edge"/>
              <c:yMode val="edge"/>
              <c:x val="1.1765067563731526E-2"/>
              <c:y val="0.35837308468811874"/>
            </c:manualLayout>
          </c:layout>
          <c:overlay val="0"/>
          <c:spPr>
            <a:noFill/>
            <a:ln w="25400">
              <a:noFill/>
            </a:ln>
          </c:spPr>
        </c:title>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08204463"/>
        <c:crosses val="autoZero"/>
        <c:crossBetween val="midCat"/>
      </c:valAx>
      <c:catAx>
        <c:axId val="3"/>
        <c:scaling>
          <c:orientation val="minMax"/>
        </c:scaling>
        <c:delete val="1"/>
        <c:axPos val="b"/>
        <c:numFmt formatCode="yyyy"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layout>
        <c:manualLayout>
          <c:xMode val="edge"/>
          <c:yMode val="edge"/>
          <c:x val="1.1765067563731526E-2"/>
          <c:y val="0.86350848024851468"/>
          <c:w val="0.60295971264124071"/>
          <c:h val="0.1228707718930692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 COUVERTURE DES OBLIG. FINANC.</a:t>
            </a:r>
          </a:p>
        </c:rich>
      </c:tx>
      <c:layout>
        <c:manualLayout>
          <c:xMode val="edge"/>
          <c:yMode val="edge"/>
          <c:x val="0.21068084864707892"/>
          <c:y val="2.3891538979207916E-2"/>
        </c:manualLayout>
      </c:layout>
      <c:overlay val="0"/>
      <c:spPr>
        <a:noFill/>
        <a:ln w="25400">
          <a:noFill/>
        </a:ln>
      </c:spPr>
    </c:title>
    <c:autoTitleDeleted val="0"/>
    <c:plotArea>
      <c:layout>
        <c:manualLayout>
          <c:layoutTarget val="inner"/>
          <c:xMode val="edge"/>
          <c:yMode val="edge"/>
          <c:x val="0.11517219726040315"/>
          <c:y val="0.13652307988118809"/>
          <c:w val="0.76687828907536726"/>
          <c:h val="0.64165847544158405"/>
        </c:manualLayout>
      </c:layout>
      <c:lineChart>
        <c:grouping val="standard"/>
        <c:varyColors val="0"/>
        <c:ser>
          <c:idx val="1"/>
          <c:order val="1"/>
          <c:tx>
            <c:v>  EBE - Invest. industriel / Service de la dette (%)</c:v>
          </c:tx>
          <c:spPr>
            <a:ln w="12700">
              <a:solidFill>
                <a:srgbClr val="6CBE99"/>
              </a:solidFill>
              <a:prstDash val="solid"/>
            </a:ln>
          </c:spPr>
          <c:marker>
            <c:symbol val="none"/>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PrSept!$E$284:$N$284</c:f>
              <c:numCache>
                <c:formatCode>0.0%;[Red]\(0.0%\)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0-2971-2F4F-94F4-10BF57E480F5}"/>
            </c:ext>
          </c:extLst>
        </c:ser>
        <c:dLbls>
          <c:showLegendKey val="0"/>
          <c:showVal val="0"/>
          <c:showCatName val="0"/>
          <c:showSerName val="0"/>
          <c:showPercent val="0"/>
          <c:showBubbleSize val="0"/>
        </c:dLbls>
        <c:marker val="1"/>
        <c:smooth val="0"/>
        <c:axId val="1708530111"/>
        <c:axId val="1"/>
      </c:lineChart>
      <c:lineChart>
        <c:grouping val="standard"/>
        <c:varyColors val="1"/>
        <c:ser>
          <c:idx val="0"/>
          <c:order val="0"/>
          <c:tx>
            <c:v>  EBE / Résultat financier retraité (%)</c:v>
          </c:tx>
          <c:spPr>
            <a:ln w="12700">
              <a:solidFill>
                <a:srgbClr val="00573F"/>
              </a:solidFill>
              <a:prstDash val="solid"/>
            </a:ln>
          </c:spPr>
          <c:marker>
            <c:symbol val="circle"/>
            <c:size val="5"/>
            <c:spPr>
              <a:solidFill>
                <a:srgbClr val="00573F"/>
              </a:solidFill>
              <a:ln>
                <a:solidFill>
                  <a:srgbClr val="00573F"/>
                </a:solidFill>
                <a:prstDash val="solid"/>
              </a:ln>
            </c:spPr>
          </c:marker>
          <c:dPt>
            <c:idx val="0"/>
            <c:bubble3D val="0"/>
            <c:extLst>
              <c:ext xmlns:c16="http://schemas.microsoft.com/office/drawing/2014/chart" uri="{C3380CC4-5D6E-409C-BE32-E72D297353CC}">
                <c16:uniqueId val="{00000002-2971-2F4F-94F4-10BF57E480F5}"/>
              </c:ext>
            </c:extLst>
          </c:dPt>
          <c:dPt>
            <c:idx val="1"/>
            <c:bubble3D val="0"/>
            <c:extLst>
              <c:ext xmlns:c16="http://schemas.microsoft.com/office/drawing/2014/chart" uri="{C3380CC4-5D6E-409C-BE32-E72D297353CC}">
                <c16:uniqueId val="{00000004-2971-2F4F-94F4-10BF57E480F5}"/>
              </c:ext>
            </c:extLst>
          </c:dPt>
          <c:dPt>
            <c:idx val="2"/>
            <c:bubble3D val="0"/>
            <c:extLst>
              <c:ext xmlns:c16="http://schemas.microsoft.com/office/drawing/2014/chart" uri="{C3380CC4-5D6E-409C-BE32-E72D297353CC}">
                <c16:uniqueId val="{00000006-2971-2F4F-94F4-10BF57E480F5}"/>
              </c:ext>
            </c:extLst>
          </c:dPt>
          <c:dPt>
            <c:idx val="3"/>
            <c:bubble3D val="0"/>
            <c:extLst>
              <c:ext xmlns:c16="http://schemas.microsoft.com/office/drawing/2014/chart" uri="{C3380CC4-5D6E-409C-BE32-E72D297353CC}">
                <c16:uniqueId val="{00000008-2971-2F4F-94F4-10BF57E480F5}"/>
              </c:ext>
            </c:extLst>
          </c:dPt>
          <c:dPt>
            <c:idx val="4"/>
            <c:bubble3D val="0"/>
            <c:extLst>
              <c:ext xmlns:c16="http://schemas.microsoft.com/office/drawing/2014/chart" uri="{C3380CC4-5D6E-409C-BE32-E72D297353CC}">
                <c16:uniqueId val="{0000000A-2971-2F4F-94F4-10BF57E480F5}"/>
              </c:ext>
            </c:extLst>
          </c:dPt>
          <c:dPt>
            <c:idx val="5"/>
            <c:bubble3D val="0"/>
            <c:extLst>
              <c:ext xmlns:c16="http://schemas.microsoft.com/office/drawing/2014/chart" uri="{C3380CC4-5D6E-409C-BE32-E72D297353CC}">
                <c16:uniqueId val="{0000000C-2971-2F4F-94F4-10BF57E480F5}"/>
              </c:ext>
            </c:extLst>
          </c:dPt>
          <c:dPt>
            <c:idx val="6"/>
            <c:bubble3D val="0"/>
            <c:extLst>
              <c:ext xmlns:c16="http://schemas.microsoft.com/office/drawing/2014/chart" uri="{C3380CC4-5D6E-409C-BE32-E72D297353CC}">
                <c16:uniqueId val="{0000000E-2971-2F4F-94F4-10BF57E480F5}"/>
              </c:ext>
            </c:extLst>
          </c:dPt>
          <c:dPt>
            <c:idx val="7"/>
            <c:bubble3D val="0"/>
            <c:extLst>
              <c:ext xmlns:c16="http://schemas.microsoft.com/office/drawing/2014/chart" uri="{C3380CC4-5D6E-409C-BE32-E72D297353CC}">
                <c16:uniqueId val="{00000010-2971-2F4F-94F4-10BF57E480F5}"/>
              </c:ext>
            </c:extLst>
          </c:dPt>
          <c:dPt>
            <c:idx val="8"/>
            <c:bubble3D val="0"/>
            <c:extLst>
              <c:ext xmlns:c16="http://schemas.microsoft.com/office/drawing/2014/chart" uri="{C3380CC4-5D6E-409C-BE32-E72D297353CC}">
                <c16:uniqueId val="{00000012-2971-2F4F-94F4-10BF57E480F5}"/>
              </c:ext>
            </c:extLst>
          </c:dPt>
          <c:dPt>
            <c:idx val="9"/>
            <c:bubble3D val="0"/>
            <c:extLst>
              <c:ext xmlns:c16="http://schemas.microsoft.com/office/drawing/2014/chart" uri="{C3380CC4-5D6E-409C-BE32-E72D297353CC}">
                <c16:uniqueId val="{00000014-2971-2F4F-94F4-10BF57E480F5}"/>
              </c:ext>
            </c:extLst>
          </c:dPt>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PrSept!$E$281:$N$281</c:f>
              <c:numCache>
                <c:formatCode>0.0%;[Red]\(0.0%\)</c:formatCode>
                <c:ptCount val="10"/>
                <c:pt idx="0">
                  <c:v>6.3223488466144833</c:v>
                </c:pt>
                <c:pt idx="1">
                  <c:v>3.6609762378057713</c:v>
                </c:pt>
                <c:pt idx="2">
                  <c:v>2.1464456654602597</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15-2971-2F4F-94F4-10BF57E480F5}"/>
            </c:ext>
          </c:extLst>
        </c:ser>
        <c:dLbls>
          <c:showLegendKey val="0"/>
          <c:showVal val="0"/>
          <c:showCatName val="0"/>
          <c:showSerName val="0"/>
          <c:showPercent val="0"/>
          <c:showBubbleSize val="0"/>
        </c:dLbls>
        <c:marker val="1"/>
        <c:smooth val="0"/>
        <c:axId val="3"/>
        <c:axId val="4"/>
      </c:lineChart>
      <c:catAx>
        <c:axId val="1708530111"/>
        <c:scaling>
          <c:orientation val="minMax"/>
        </c:scaling>
        <c:delete val="0"/>
        <c:axPos val="b"/>
        <c:numFmt formatCode="yyyy" sourceLinked="1"/>
        <c:majorTickMark val="cross"/>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0%;[Red]\(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08530111"/>
        <c:crosses val="autoZero"/>
        <c:crossBetween val="midCat"/>
      </c:valAx>
      <c:catAx>
        <c:axId val="3"/>
        <c:scaling>
          <c:orientation val="minMax"/>
        </c:scaling>
        <c:delete val="1"/>
        <c:axPos val="b"/>
        <c:numFmt formatCode="yyyy"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layout>
        <c:manualLayout>
          <c:xMode val="edge"/>
          <c:yMode val="edge"/>
          <c:x val="1.9663545873727366E-2"/>
          <c:y val="0.87033463424257407"/>
          <c:w val="0.73036027530987357"/>
          <c:h val="0.1058053869079207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INVESTISSEMENT INDUSTRIEL</a:t>
            </a:r>
          </a:p>
        </c:rich>
      </c:tx>
      <c:layout>
        <c:manualLayout>
          <c:xMode val="edge"/>
          <c:yMode val="edge"/>
          <c:x val="0.27933883614132032"/>
          <c:y val="3.4130769970297022E-2"/>
        </c:manualLayout>
      </c:layout>
      <c:overlay val="0"/>
      <c:spPr>
        <a:noFill/>
        <a:ln w="25400">
          <a:noFill/>
        </a:ln>
      </c:spPr>
    </c:title>
    <c:autoTitleDeleted val="0"/>
    <c:plotArea>
      <c:layout>
        <c:manualLayout>
          <c:layoutTarget val="inner"/>
          <c:xMode val="edge"/>
          <c:yMode val="edge"/>
          <c:x val="0.1731900784076186"/>
          <c:y val="9.5566155916831666E-2"/>
          <c:w val="0.71790080888319319"/>
          <c:h val="0.6962677073940593"/>
        </c:manualLayout>
      </c:layout>
      <c:barChart>
        <c:barDir val="col"/>
        <c:grouping val="clustered"/>
        <c:varyColors val="0"/>
        <c:ser>
          <c:idx val="1"/>
          <c:order val="1"/>
          <c:tx>
            <c:v>  Investissement industriel</c:v>
          </c:tx>
          <c:spPr>
            <a:solidFill>
              <a:srgbClr val="00915A"/>
            </a:solidFill>
            <a:ln w="12700">
              <a:solidFill>
                <a:srgbClr val="000000"/>
              </a:solidFill>
              <a:prstDash val="solid"/>
            </a:ln>
          </c:spPr>
          <c:invertIfNegative val="0"/>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PrSept!$E$218:$N$218</c:f>
              <c:numCache>
                <c:formatCode>#,##0.0_);[Red]\(#,##0.0\)</c:formatCode>
                <c:ptCount val="10"/>
                <c:pt idx="0">
                  <c:v>61434.208020000005</c:v>
                </c:pt>
                <c:pt idx="1">
                  <c:v>12147.063979999988</c:v>
                </c:pt>
                <c:pt idx="2">
                  <c:v>26556.550000000057</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854-3D41-8501-D9D42B925239}"/>
            </c:ext>
          </c:extLst>
        </c:ser>
        <c:dLbls>
          <c:showLegendKey val="0"/>
          <c:showVal val="0"/>
          <c:showCatName val="0"/>
          <c:showSerName val="0"/>
          <c:showPercent val="0"/>
          <c:showBubbleSize val="0"/>
        </c:dLbls>
        <c:gapWidth val="150"/>
        <c:axId val="1674077551"/>
        <c:axId val="1"/>
      </c:barChart>
      <c:lineChart>
        <c:grouping val="standard"/>
        <c:varyColors val="0"/>
        <c:ser>
          <c:idx val="0"/>
          <c:order val="0"/>
          <c:tx>
            <c:v>  Investissement industriel / Dotation aux amortissements (%)</c:v>
          </c:tx>
          <c:spPr>
            <a:ln w="12700">
              <a:solidFill>
                <a:srgbClr val="00573F"/>
              </a:solidFill>
              <a:prstDash val="solid"/>
            </a:ln>
          </c:spPr>
          <c:marker>
            <c:symbol val="circle"/>
            <c:size val="5"/>
            <c:spPr>
              <a:solidFill>
                <a:srgbClr val="00573F"/>
              </a:solidFill>
              <a:ln>
                <a:solidFill>
                  <a:srgbClr val="00573F"/>
                </a:solidFill>
                <a:prstDash val="solid"/>
              </a:ln>
            </c:spPr>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PrSept!$E$297:$N$297</c:f>
              <c:numCache>
                <c:formatCode>0.0%;[Red]\(0.0%\)</c:formatCode>
                <c:ptCount val="10"/>
                <c:pt idx="0">
                  <c:v>3.1726845776363115</c:v>
                </c:pt>
                <c:pt idx="1">
                  <c:v>0.58178112596445686</c:v>
                </c:pt>
                <c:pt idx="2">
                  <c:v>0.93658803277877567</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8854-3D41-8501-D9D42B925239}"/>
            </c:ext>
          </c:extLst>
        </c:ser>
        <c:dLbls>
          <c:showLegendKey val="0"/>
          <c:showVal val="0"/>
          <c:showCatName val="0"/>
          <c:showSerName val="0"/>
          <c:showPercent val="0"/>
          <c:showBubbleSize val="0"/>
        </c:dLbls>
        <c:marker val="1"/>
        <c:smooth val="0"/>
        <c:axId val="3"/>
        <c:axId val="4"/>
      </c:lineChart>
      <c:catAx>
        <c:axId val="1674077551"/>
        <c:scaling>
          <c:orientation val="minMax"/>
        </c:scaling>
        <c:delete val="0"/>
        <c:axPos val="b"/>
        <c:numFmt formatCode="yy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En Montant</a:t>
                </a:r>
              </a:p>
            </c:rich>
          </c:tx>
          <c:layout>
            <c:manualLayout>
              <c:xMode val="edge"/>
              <c:yMode val="edge"/>
              <c:x val="1.1173553445652813E-2"/>
              <c:y val="0.34813385369702965"/>
            </c:manualLayout>
          </c:layout>
          <c:overlay val="0"/>
          <c:spPr>
            <a:noFill/>
            <a:ln w="25400">
              <a:noFill/>
            </a:ln>
          </c:spPr>
        </c:title>
        <c:numFmt formatCode="#,##0_);[Red]\(#,##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74077551"/>
        <c:crosses val="autoZero"/>
        <c:crossBetween val="midCat"/>
      </c:valAx>
      <c:catAx>
        <c:axId val="3"/>
        <c:scaling>
          <c:orientation val="minMax"/>
        </c:scaling>
        <c:delete val="0"/>
        <c:axPos val="b"/>
        <c:numFmt formatCode="yyyy" sourceLinked="1"/>
        <c:majorTickMark val="cross"/>
        <c:minorTickMark val="none"/>
        <c:tickLblPos val="nextTo"/>
        <c:spPr>
          <a:ln w="6350">
            <a:noFill/>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4"/>
        <c:crosses val="autoZero"/>
        <c:auto val="0"/>
        <c:lblAlgn val="ctr"/>
        <c:lblOffset val="100"/>
        <c:tickLblSkip val="1"/>
        <c:tickMarkSkip val="1"/>
        <c:noMultiLvlLbl val="0"/>
      </c:catAx>
      <c:valAx>
        <c:axId val="4"/>
        <c:scaling>
          <c:orientation val="minMax"/>
        </c:scaling>
        <c:delete val="0"/>
        <c:axPos val="r"/>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layout>
        <c:manualLayout>
          <c:xMode val="edge"/>
          <c:yMode val="edge"/>
          <c:x val="1.1173553445652813E-2"/>
          <c:y val="0.88398694223069285"/>
          <c:w val="0.77376857611145733"/>
          <c:h val="9.897923291386136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ENDETTEMENT</a:t>
            </a:r>
          </a:p>
        </c:rich>
      </c:tx>
      <c:layout>
        <c:manualLayout>
          <c:xMode val="edge"/>
          <c:yMode val="edge"/>
          <c:x val="0.35694404258127171"/>
          <c:y val="3.4130769970297022E-2"/>
        </c:manualLayout>
      </c:layout>
      <c:overlay val="0"/>
      <c:spPr>
        <a:noFill/>
        <a:ln w="25400">
          <a:noFill/>
        </a:ln>
      </c:spPr>
    </c:title>
    <c:autoTitleDeleted val="0"/>
    <c:plotArea>
      <c:layout>
        <c:manualLayout>
          <c:layoutTarget val="inner"/>
          <c:xMode val="edge"/>
          <c:yMode val="edge"/>
          <c:x val="6.7848867598092971E-2"/>
          <c:y val="9.8979232913861362E-2"/>
          <c:w val="0.81418641117711565"/>
          <c:h val="0.66555001442079198"/>
        </c:manualLayout>
      </c:layout>
      <c:barChart>
        <c:barDir val="col"/>
        <c:grouping val="clustered"/>
        <c:varyColors val="0"/>
        <c:ser>
          <c:idx val="1"/>
          <c:order val="1"/>
          <c:tx>
            <c:v>  Dettes financières totales / EBE (en années)</c:v>
          </c:tx>
          <c:spPr>
            <a:solidFill>
              <a:srgbClr val="00915A"/>
            </a:solidFill>
            <a:ln w="12700">
              <a:solidFill>
                <a:srgbClr val="000000"/>
              </a:solidFill>
              <a:prstDash val="solid"/>
            </a:ln>
          </c:spPr>
          <c:invertIfNegative val="0"/>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PrSept!$E$293:$N$293</c:f>
              <c:numCache>
                <c:formatCode>#,##0.0_);[Red]\(#,##0.0\)</c:formatCode>
                <c:ptCount val="10"/>
                <c:pt idx="0">
                  <c:v>7.0709846698170802</c:v>
                </c:pt>
                <c:pt idx="1">
                  <c:v>3.8238772498578131</c:v>
                </c:pt>
                <c:pt idx="2">
                  <c:v>5.1181043680588614</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0EAB-324E-A5BA-5B670177DCF8}"/>
            </c:ext>
          </c:extLst>
        </c:ser>
        <c:dLbls>
          <c:showLegendKey val="0"/>
          <c:showVal val="0"/>
          <c:showCatName val="0"/>
          <c:showSerName val="0"/>
          <c:showPercent val="0"/>
          <c:showBubbleSize val="0"/>
        </c:dLbls>
        <c:gapWidth val="150"/>
        <c:axId val="1708574527"/>
        <c:axId val="1"/>
      </c:barChart>
      <c:lineChart>
        <c:grouping val="standard"/>
        <c:varyColors val="0"/>
        <c:ser>
          <c:idx val="0"/>
          <c:order val="0"/>
          <c:tx>
            <c:v>  Dettes financières totales / Fonds propres (%)</c:v>
          </c:tx>
          <c:spPr>
            <a:ln w="12700">
              <a:solidFill>
                <a:srgbClr val="00573F"/>
              </a:solidFill>
              <a:prstDash val="solid"/>
            </a:ln>
          </c:spPr>
          <c:marker>
            <c:symbol val="circle"/>
            <c:size val="5"/>
            <c:spPr>
              <a:solidFill>
                <a:srgbClr val="00573F"/>
              </a:solidFill>
              <a:ln>
                <a:solidFill>
                  <a:srgbClr val="00573F"/>
                </a:solidFill>
                <a:prstDash val="solid"/>
              </a:ln>
            </c:spPr>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PrSept!$E$290:$N$290</c:f>
              <c:numCache>
                <c:formatCode>0.0%;[Red]\(0.0%\)</c:formatCode>
                <c:ptCount val="10"/>
                <c:pt idx="0">
                  <c:v>3.0162191909169009</c:v>
                </c:pt>
                <c:pt idx="1">
                  <c:v>2.3790958320607047</c:v>
                </c:pt>
                <c:pt idx="2">
                  <c:v>3.7167205179046161</c:v>
                </c:pt>
                <c:pt idx="3">
                  <c:v>0.83908554627025578</c:v>
                </c:pt>
                <c:pt idx="4">
                  <c:v>0.83908554627025578</c:v>
                </c:pt>
                <c:pt idx="5">
                  <c:v>0.83908554627025578</c:v>
                </c:pt>
                <c:pt idx="6">
                  <c:v>0.83908554627025578</c:v>
                </c:pt>
                <c:pt idx="7">
                  <c:v>0.83908554627025578</c:v>
                </c:pt>
                <c:pt idx="8">
                  <c:v>0.83908554627025578</c:v>
                </c:pt>
                <c:pt idx="9">
                  <c:v>0.83908554627025578</c:v>
                </c:pt>
              </c:numCache>
            </c:numRef>
          </c:val>
          <c:smooth val="1"/>
          <c:extLst>
            <c:ext xmlns:c16="http://schemas.microsoft.com/office/drawing/2014/chart" uri="{C3380CC4-5D6E-409C-BE32-E72D297353CC}">
              <c16:uniqueId val="{00000001-0EAB-324E-A5BA-5B670177DCF8}"/>
            </c:ext>
          </c:extLst>
        </c:ser>
        <c:ser>
          <c:idx val="2"/>
          <c:order val="2"/>
          <c:tx>
            <c:v>  Dettes financières totales nettes / Fonds propres (%)</c:v>
          </c:tx>
          <c:spPr>
            <a:ln w="12700">
              <a:solidFill>
                <a:srgbClr val="000000"/>
              </a:solidFill>
              <a:prstDash val="sysDash"/>
            </a:ln>
          </c:spPr>
          <c:marker>
            <c:symbol val="triangle"/>
            <c:size val="5"/>
            <c:spPr>
              <a:solidFill>
                <a:srgbClr val="000000"/>
              </a:solidFill>
              <a:ln>
                <a:solidFill>
                  <a:srgbClr val="000000"/>
                </a:solidFill>
                <a:prstDash val="solid"/>
              </a:ln>
            </c:spPr>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PrSept!$E$291:$N$291</c:f>
              <c:numCache>
                <c:formatCode>0.0%;[Red]\(0.0%\)</c:formatCode>
                <c:ptCount val="10"/>
                <c:pt idx="0">
                  <c:v>1.8175964206801889</c:v>
                </c:pt>
                <c:pt idx="1">
                  <c:v>2.1998726468052872</c:v>
                </c:pt>
                <c:pt idx="2">
                  <c:v>3.0505399335306249</c:v>
                </c:pt>
                <c:pt idx="3">
                  <c:v>-0.33360847481438849</c:v>
                </c:pt>
                <c:pt idx="4">
                  <c:v>-0.33360847481438849</c:v>
                </c:pt>
                <c:pt idx="5">
                  <c:v>-0.33360847481438849</c:v>
                </c:pt>
                <c:pt idx="6">
                  <c:v>-0.33360847481438849</c:v>
                </c:pt>
                <c:pt idx="7">
                  <c:v>-0.33360847481438849</c:v>
                </c:pt>
                <c:pt idx="8">
                  <c:v>-0.33360847481438849</c:v>
                </c:pt>
                <c:pt idx="9">
                  <c:v>-0.33360847481438849</c:v>
                </c:pt>
              </c:numCache>
            </c:numRef>
          </c:val>
          <c:smooth val="0"/>
          <c:extLst>
            <c:ext xmlns:c16="http://schemas.microsoft.com/office/drawing/2014/chart" uri="{C3380CC4-5D6E-409C-BE32-E72D297353CC}">
              <c16:uniqueId val="{00000002-0EAB-324E-A5BA-5B670177DCF8}"/>
            </c:ext>
          </c:extLst>
        </c:ser>
        <c:dLbls>
          <c:showLegendKey val="0"/>
          <c:showVal val="0"/>
          <c:showCatName val="0"/>
          <c:showSerName val="0"/>
          <c:showPercent val="0"/>
          <c:showBubbleSize val="0"/>
        </c:dLbls>
        <c:marker val="1"/>
        <c:smooth val="0"/>
        <c:axId val="3"/>
        <c:axId val="4"/>
      </c:lineChart>
      <c:catAx>
        <c:axId val="1708574527"/>
        <c:scaling>
          <c:orientation val="minMax"/>
        </c:scaling>
        <c:delete val="0"/>
        <c:axPos val="b"/>
        <c:numFmt formatCode="yyyy"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708574527"/>
        <c:crosses val="autoZero"/>
        <c:crossBetween val="midCat"/>
      </c:valAx>
      <c:catAx>
        <c:axId val="3"/>
        <c:scaling>
          <c:orientation val="minMax"/>
        </c:scaling>
        <c:delete val="1"/>
        <c:axPos val="b"/>
        <c:numFmt formatCode="yyyy"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0"/>
        <c:txPr>
          <a:bodyPr/>
          <a:lstStyle/>
          <a:p>
            <a:pPr>
              <a:defRPr sz="735" b="0" i="0" u="none" strike="noStrike" baseline="0">
                <a:solidFill>
                  <a:srgbClr val="000000"/>
                </a:solidFill>
                <a:latin typeface="Times New Roman"/>
                <a:ea typeface="Times New Roman"/>
                <a:cs typeface="Times New Roman"/>
              </a:defRPr>
            </a:pPr>
            <a:endParaRPr lang="fr-FR"/>
          </a:p>
        </c:txPr>
      </c:legendEntry>
      <c:layout>
        <c:manualLayout>
          <c:xMode val="edge"/>
          <c:yMode val="edge"/>
          <c:x val="1.1799803060537909E-2"/>
          <c:y val="0.85668232625445528"/>
          <c:w val="0.73453774051848486"/>
          <c:h val="0.1228707718930692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Times New Roman"/>
                <a:ea typeface="Times New Roman"/>
                <a:cs typeface="Times New Roman"/>
              </a:defRPr>
            </a:pPr>
            <a:r>
              <a:rPr lang="fr-FR"/>
              <a:t>RENTABILITE</a:t>
            </a:r>
          </a:p>
        </c:rich>
      </c:tx>
      <c:layout>
        <c:manualLayout>
          <c:xMode val="edge"/>
          <c:yMode val="edge"/>
          <c:x val="0.38203460554670315"/>
          <c:y val="3.4130769970297022E-2"/>
        </c:manualLayout>
      </c:layout>
      <c:overlay val="0"/>
      <c:spPr>
        <a:noFill/>
        <a:ln w="25400">
          <a:noFill/>
        </a:ln>
      </c:spPr>
    </c:title>
    <c:autoTitleDeleted val="0"/>
    <c:plotArea>
      <c:layout>
        <c:manualLayout>
          <c:layoutTarget val="inner"/>
          <c:xMode val="edge"/>
          <c:yMode val="edge"/>
          <c:x val="0.11798127524236419"/>
          <c:y val="8.874000192277226E-2"/>
          <c:w val="0.73878750925575676"/>
          <c:h val="0.6826153994059404"/>
        </c:manualLayout>
      </c:layout>
      <c:barChart>
        <c:barDir val="col"/>
        <c:grouping val="clustered"/>
        <c:varyColors val="0"/>
        <c:ser>
          <c:idx val="0"/>
          <c:order val="0"/>
          <c:tx>
            <c:v>  RN / Fonds propres (%)</c:v>
          </c:tx>
          <c:spPr>
            <a:solidFill>
              <a:srgbClr val="00915A"/>
            </a:solidFill>
            <a:ln w="12700">
              <a:solidFill>
                <a:srgbClr val="2E86AB"/>
              </a:solidFill>
              <a:prstDash val="solid"/>
            </a:ln>
          </c:spPr>
          <c:invertIfNegative val="0"/>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PrSept!$E$277:$N$277</c:f>
              <c:numCache>
                <c:formatCode>0.0%;[Red]\(0.0%\)</c:formatCode>
                <c:ptCount val="10"/>
                <c:pt idx="0">
                  <c:v>0.17381836780293078</c:v>
                </c:pt>
                <c:pt idx="1">
                  <c:v>0.1557034570888928</c:v>
                </c:pt>
                <c:pt idx="2">
                  <c:v>0.17680814057951025</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994F-1F42-A12B-7E9B75D74E62}"/>
            </c:ext>
          </c:extLst>
        </c:ser>
        <c:dLbls>
          <c:showLegendKey val="0"/>
          <c:showVal val="0"/>
          <c:showCatName val="0"/>
          <c:showSerName val="0"/>
          <c:showPercent val="0"/>
          <c:showBubbleSize val="0"/>
        </c:dLbls>
        <c:gapWidth val="150"/>
        <c:axId val="3"/>
        <c:axId val="4"/>
      </c:barChart>
      <c:lineChart>
        <c:grouping val="standard"/>
        <c:varyColors val="0"/>
        <c:ser>
          <c:idx val="1"/>
          <c:order val="1"/>
          <c:tx>
            <c:v>  RN / C.A. (%)</c:v>
          </c:tx>
          <c:spPr>
            <a:ln w="12700">
              <a:solidFill>
                <a:srgbClr val="2E86AB"/>
              </a:solidFill>
              <a:prstDash val="solid"/>
            </a:ln>
          </c:spPr>
          <c:marker>
            <c:symbol val="none"/>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PrSept!$E$274:$N$274</c:f>
              <c:numCache>
                <c:formatCode>0.0%;[Red]\(0.0%\)</c:formatCode>
                <c:ptCount val="10"/>
                <c:pt idx="0">
                  <c:v>2.5604289623350689E-2</c:v>
                </c:pt>
                <c:pt idx="1">
                  <c:v>2.353869425373948E-2</c:v>
                </c:pt>
                <c:pt idx="2">
                  <c:v>1.7180167417173847E-2</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1-994F-1F42-A12B-7E9B75D74E62}"/>
            </c:ext>
          </c:extLst>
        </c:ser>
        <c:ser>
          <c:idx val="2"/>
          <c:order val="2"/>
          <c:tx>
            <c:v>  RN / Total Actif (%)</c:v>
          </c:tx>
          <c:spPr>
            <a:ln w="12700">
              <a:solidFill>
                <a:srgbClr val="00573F"/>
              </a:solidFill>
              <a:prstDash val="solid"/>
            </a:ln>
          </c:spPr>
          <c:marker>
            <c:symbol val="circle"/>
            <c:size val="5"/>
            <c:spPr>
              <a:solidFill>
                <a:srgbClr val="00573F"/>
              </a:solidFill>
              <a:ln>
                <a:solidFill>
                  <a:srgbClr val="00573F"/>
                </a:solidFill>
                <a:prstDash val="solid"/>
              </a:ln>
            </c:spPr>
          </c:marker>
          <c:cat>
            <c:numRef>
              <c:f>PrSept!$E$27:$N$27</c:f>
              <c:numCache>
                <c:formatCode>yyyy</c:formatCode>
                <c:ptCount val="10"/>
                <c:pt idx="0">
                  <c:v>39783</c:v>
                </c:pt>
                <c:pt idx="1">
                  <c:v>40178</c:v>
                </c:pt>
                <c:pt idx="2">
                  <c:v>40543</c:v>
                </c:pt>
                <c:pt idx="3">
                  <c:v>40909</c:v>
                </c:pt>
                <c:pt idx="4">
                  <c:v>41275</c:v>
                </c:pt>
                <c:pt idx="5">
                  <c:v>41641</c:v>
                </c:pt>
                <c:pt idx="6">
                  <c:v>42007</c:v>
                </c:pt>
                <c:pt idx="7">
                  <c:v>42373</c:v>
                </c:pt>
                <c:pt idx="8">
                  <c:v>42739</c:v>
                </c:pt>
                <c:pt idx="9">
                  <c:v>43105</c:v>
                </c:pt>
              </c:numCache>
            </c:numRef>
          </c:cat>
          <c:val>
            <c:numRef>
              <c:f>PrSept!$E$278:$N$278</c:f>
              <c:numCache>
                <c:formatCode>0.0%;[Red]\(0.0%\)</c:formatCode>
                <c:ptCount val="10"/>
                <c:pt idx="0">
                  <c:v>2.8374982000478787E-2</c:v>
                </c:pt>
                <c:pt idx="1">
                  <c:v>2.5387160138827691E-2</c:v>
                </c:pt>
                <c:pt idx="2">
                  <c:v>2.5046891591653374E-2</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2-994F-1F42-A12B-7E9B75D74E62}"/>
            </c:ext>
          </c:extLst>
        </c:ser>
        <c:dLbls>
          <c:showLegendKey val="0"/>
          <c:showVal val="0"/>
          <c:showCatName val="0"/>
          <c:showSerName val="0"/>
          <c:showPercent val="0"/>
          <c:showBubbleSize val="0"/>
        </c:dLbls>
        <c:marker val="1"/>
        <c:smooth val="0"/>
        <c:axId val="1674123711"/>
        <c:axId val="1"/>
      </c:lineChart>
      <c:catAx>
        <c:axId val="1674123711"/>
        <c:scaling>
          <c:orientation val="minMax"/>
        </c:scaling>
        <c:delete val="0"/>
        <c:axPos val="b"/>
        <c:numFmt formatCode="yyyy" sourceLinked="1"/>
        <c:majorTickMark val="cross"/>
        <c:minorTickMark val="none"/>
        <c:tickLblPos val="low"/>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
        <c:crosses val="autoZero"/>
        <c:auto val="0"/>
        <c:lblAlgn val="ctr"/>
        <c:lblOffset val="100"/>
        <c:tickLblSkip val="1"/>
        <c:tickMarkSkip val="1"/>
        <c:noMultiLvlLbl val="0"/>
      </c:catAx>
      <c:valAx>
        <c:axId val="1"/>
        <c:scaling>
          <c:orientation val="minMax"/>
        </c:scaling>
        <c:delete val="0"/>
        <c:axPos val="l"/>
        <c:title>
          <c:tx>
            <c:rich>
              <a:bodyPr/>
              <a:lstStyle/>
              <a:p>
                <a:pPr>
                  <a:defRPr sz="1000" b="1" i="0" u="none" strike="noStrike" baseline="0">
                    <a:solidFill>
                      <a:srgbClr val="000000"/>
                    </a:solidFill>
                    <a:latin typeface="Times New Roman"/>
                    <a:ea typeface="Times New Roman"/>
                    <a:cs typeface="Times New Roman"/>
                  </a:defRPr>
                </a:pPr>
                <a:r>
                  <a:rPr lang="fr-FR"/>
                  <a:t>Rent. des ventes et actifs</a:t>
                </a:r>
              </a:p>
            </c:rich>
          </c:tx>
          <c:layout>
            <c:manualLayout>
              <c:xMode val="edge"/>
              <c:yMode val="edge"/>
              <c:x val="1.123631192784421E-2"/>
              <c:y val="0.22867615880099004"/>
            </c:manualLayout>
          </c:layout>
          <c:overlay val="0"/>
          <c:spPr>
            <a:noFill/>
            <a:ln w="25400">
              <a:noFill/>
            </a:ln>
          </c:spPr>
        </c:title>
        <c:numFmt formatCode="0.0%" sourceLinked="0"/>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1674123711"/>
        <c:crosses val="autoZero"/>
        <c:crossBetween val="midCat"/>
      </c:valAx>
      <c:catAx>
        <c:axId val="3"/>
        <c:scaling>
          <c:orientation val="minMax"/>
        </c:scaling>
        <c:delete val="1"/>
        <c:axPos val="b"/>
        <c:numFmt formatCode="yyyy" sourceLinked="1"/>
        <c:majorTickMark val="out"/>
        <c:minorTickMark val="none"/>
        <c:tickLblPos val="nextTo"/>
        <c:crossAx val="4"/>
        <c:crosses val="autoZero"/>
        <c:auto val="0"/>
        <c:lblAlgn val="ctr"/>
        <c:lblOffset val="100"/>
        <c:noMultiLvlLbl val="0"/>
      </c:catAx>
      <c:valAx>
        <c:axId val="4"/>
        <c:scaling>
          <c:orientation val="minMax"/>
        </c:scaling>
        <c:delete val="0"/>
        <c:axPos val="r"/>
        <c:title>
          <c:tx>
            <c:rich>
              <a:bodyPr/>
              <a:lstStyle/>
              <a:p>
                <a:pPr>
                  <a:defRPr sz="1000" b="1" i="0" u="none" strike="noStrike" baseline="0">
                    <a:solidFill>
                      <a:srgbClr val="000000"/>
                    </a:solidFill>
                    <a:latin typeface="Times New Roman"/>
                    <a:ea typeface="Times New Roman"/>
                    <a:cs typeface="Times New Roman"/>
                  </a:defRPr>
                </a:pPr>
                <a:r>
                  <a:rPr lang="fr-FR"/>
                  <a:t>Rent. des Fnds propres</a:t>
                </a:r>
              </a:p>
            </c:rich>
          </c:tx>
          <c:layout>
            <c:manualLayout>
              <c:xMode val="edge"/>
              <c:yMode val="edge"/>
              <c:x val="0.92137757808322518"/>
              <c:y val="0.26622000576831678"/>
            </c:manualLayout>
          </c:layout>
          <c:overlay val="0"/>
          <c:spPr>
            <a:noFill/>
            <a:ln w="25400">
              <a:noFill/>
            </a:ln>
          </c:spPr>
        </c:title>
        <c:numFmt formatCode="0.0%;[Red]\(0.0%\)"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fr-FR"/>
          </a:p>
        </c:txPr>
        <c:crossAx val="3"/>
        <c:crosses val="max"/>
        <c:crossBetween val="midCat"/>
      </c:valAx>
      <c:spPr>
        <a:solidFill>
          <a:srgbClr val="FFFFFF"/>
        </a:solidFill>
        <a:ln w="12700">
          <a:solidFill>
            <a:srgbClr val="808080"/>
          </a:solidFill>
          <a:prstDash val="solid"/>
        </a:ln>
      </c:spPr>
    </c:plotArea>
    <c:legend>
      <c:legendPos val="b"/>
      <c:legendEntry>
        <c:idx val="1"/>
        <c:txPr>
          <a:bodyPr/>
          <a:lstStyle/>
          <a:p>
            <a:pPr>
              <a:defRPr sz="735" b="0" i="0" u="none" strike="noStrike" baseline="0">
                <a:solidFill>
                  <a:srgbClr val="000000"/>
                </a:solidFill>
                <a:latin typeface="Times New Roman"/>
                <a:ea typeface="Times New Roman"/>
                <a:cs typeface="Times New Roman"/>
              </a:defRPr>
            </a:pPr>
            <a:endParaRPr lang="fr-FR"/>
          </a:p>
        </c:txPr>
      </c:legendEntry>
      <c:layout>
        <c:manualLayout>
          <c:xMode val="edge"/>
          <c:yMode val="edge"/>
          <c:x val="0.18539914680942945"/>
          <c:y val="0.85668232625445528"/>
          <c:w val="0.60956992208554839"/>
          <c:h val="0.1262838488900989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Times New Roman"/>
          <a:ea typeface="Times New Roman"/>
          <a:cs typeface="Times New Roman"/>
        </a:defRPr>
      </a:pPr>
      <a:endParaRPr lang="fr-FR"/>
    </a:p>
  </c:txPr>
  <c:printSettings>
    <c:headerFooter alignWithMargins="0">
      <c:oddHeader>&amp;A</c:oddHeader>
      <c:oddFooter>Page &amp;P</c:oddFooter>
    </c:headerFooter>
    <c:pageMargins b="0.984251969" l="0.78740157499999996" r="0.78740157499999996" t="0.984251969" header="0.5" footer="0.5"/>
    <c:pageSetup paperSize="9" orientation="landscape" horizontalDpi="-4"/>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584200</xdr:colOff>
      <xdr:row>22</xdr:row>
      <xdr:rowOff>76200</xdr:rowOff>
    </xdr:from>
    <xdr:to>
      <xdr:col>9</xdr:col>
      <xdr:colOff>838200</xdr:colOff>
      <xdr:row>26</xdr:row>
      <xdr:rowOff>12700</xdr:rowOff>
    </xdr:to>
    <xdr:sp macro="" textlink="">
      <xdr:nvSpPr>
        <xdr:cNvPr id="2049" name="Texte 5">
          <a:extLst>
            <a:ext uri="{FF2B5EF4-FFF2-40B4-BE49-F238E27FC236}">
              <a16:creationId xmlns:a16="http://schemas.microsoft.com/office/drawing/2014/main" id="{6E1F003E-8057-3D4E-AA92-D9C7F56826B8}"/>
            </a:ext>
          </a:extLst>
        </xdr:cNvPr>
        <xdr:cNvSpPr txBox="1">
          <a:spLocks noChangeArrowheads="1"/>
        </xdr:cNvSpPr>
      </xdr:nvSpPr>
      <xdr:spPr bwMode="auto">
        <a:xfrm>
          <a:off x="6654800" y="876300"/>
          <a:ext cx="3175000" cy="64770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18288" tIns="18288" rIns="18288" bIns="0" anchor="t" upright="1"/>
        <a:lstStyle/>
        <a:p>
          <a:pPr algn="ctr" rtl="0">
            <a:defRPr sz="1000"/>
          </a:pPr>
          <a:endParaRPr lang="fr-FR" sz="800" b="0" i="0" u="none" strike="noStrike" baseline="0">
            <a:solidFill>
              <a:srgbClr val="000000"/>
            </a:solidFill>
            <a:latin typeface="Arial" pitchFamily="2" charset="0"/>
            <a:cs typeface="Arial" pitchFamily="2" charset="0"/>
          </a:endParaRPr>
        </a:p>
        <a:p>
          <a:pPr algn="ctr" rtl="0">
            <a:defRPr sz="1000"/>
          </a:pPr>
          <a:r>
            <a:rPr lang="fr-FR" sz="1800" b="1" i="0" u="none" strike="noStrike" baseline="0">
              <a:solidFill>
                <a:srgbClr val="000000"/>
              </a:solidFill>
              <a:latin typeface="Arial" pitchFamily="2" charset="0"/>
              <a:cs typeface="Arial" pitchFamily="2" charset="0"/>
            </a:rPr>
            <a:t>HYPOTHÈSES</a:t>
          </a:r>
        </a:p>
      </xdr:txBody>
    </xdr:sp>
    <xdr:clientData/>
  </xdr:twoCellAnchor>
  <xdr:twoCellAnchor>
    <xdr:from>
      <xdr:col>0</xdr:col>
      <xdr:colOff>0</xdr:colOff>
      <xdr:row>71</xdr:row>
      <xdr:rowOff>0</xdr:rowOff>
    </xdr:from>
    <xdr:to>
      <xdr:col>4</xdr:col>
      <xdr:colOff>406400</xdr:colOff>
      <xdr:row>71</xdr:row>
      <xdr:rowOff>0</xdr:rowOff>
    </xdr:to>
    <xdr:graphicFrame macro="">
      <xdr:nvGraphicFramePr>
        <xdr:cNvPr id="2050" name="Graphique 2">
          <a:extLst>
            <a:ext uri="{FF2B5EF4-FFF2-40B4-BE49-F238E27FC236}">
              <a16:creationId xmlns:a16="http://schemas.microsoft.com/office/drawing/2014/main" id="{7FE2CC1D-B8E9-CF49-961B-FF059327B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71</xdr:row>
      <xdr:rowOff>0</xdr:rowOff>
    </xdr:from>
    <xdr:to>
      <xdr:col>9</xdr:col>
      <xdr:colOff>88900</xdr:colOff>
      <xdr:row>71</xdr:row>
      <xdr:rowOff>0</xdr:rowOff>
    </xdr:to>
    <xdr:graphicFrame macro="">
      <xdr:nvGraphicFramePr>
        <xdr:cNvPr id="2051" name="Graphique 3">
          <a:extLst>
            <a:ext uri="{FF2B5EF4-FFF2-40B4-BE49-F238E27FC236}">
              <a16:creationId xmlns:a16="http://schemas.microsoft.com/office/drawing/2014/main" id="{57EC2C4B-8CCA-7D4A-9D75-870D77E98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71</xdr:row>
      <xdr:rowOff>0</xdr:rowOff>
    </xdr:from>
    <xdr:to>
      <xdr:col>14</xdr:col>
      <xdr:colOff>0</xdr:colOff>
      <xdr:row>71</xdr:row>
      <xdr:rowOff>0</xdr:rowOff>
    </xdr:to>
    <xdr:graphicFrame macro="">
      <xdr:nvGraphicFramePr>
        <xdr:cNvPr id="2052" name="Graphique 4">
          <a:extLst>
            <a:ext uri="{FF2B5EF4-FFF2-40B4-BE49-F238E27FC236}">
              <a16:creationId xmlns:a16="http://schemas.microsoft.com/office/drawing/2014/main" id="{0E2E0ECC-87EE-D440-82BD-9A3C7DDB1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71</xdr:row>
      <xdr:rowOff>0</xdr:rowOff>
    </xdr:from>
    <xdr:to>
      <xdr:col>4</xdr:col>
      <xdr:colOff>406400</xdr:colOff>
      <xdr:row>71</xdr:row>
      <xdr:rowOff>0</xdr:rowOff>
    </xdr:to>
    <xdr:graphicFrame macro="">
      <xdr:nvGraphicFramePr>
        <xdr:cNvPr id="2053" name="Graphique 5">
          <a:extLst>
            <a:ext uri="{FF2B5EF4-FFF2-40B4-BE49-F238E27FC236}">
              <a16:creationId xmlns:a16="http://schemas.microsoft.com/office/drawing/2014/main" id="{B925D78C-9EEE-C447-83A8-A0C9C6B08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609600</xdr:colOff>
      <xdr:row>71</xdr:row>
      <xdr:rowOff>0</xdr:rowOff>
    </xdr:from>
    <xdr:to>
      <xdr:col>9</xdr:col>
      <xdr:colOff>88900</xdr:colOff>
      <xdr:row>71</xdr:row>
      <xdr:rowOff>0</xdr:rowOff>
    </xdr:to>
    <xdr:graphicFrame macro="">
      <xdr:nvGraphicFramePr>
        <xdr:cNvPr id="2054" name="Graphique 6">
          <a:extLst>
            <a:ext uri="{FF2B5EF4-FFF2-40B4-BE49-F238E27FC236}">
              <a16:creationId xmlns:a16="http://schemas.microsoft.com/office/drawing/2014/main" id="{B49D3974-2B1B-A042-B642-C79775C7A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304800</xdr:colOff>
      <xdr:row>71</xdr:row>
      <xdr:rowOff>0</xdr:rowOff>
    </xdr:from>
    <xdr:to>
      <xdr:col>14</xdr:col>
      <xdr:colOff>0</xdr:colOff>
      <xdr:row>71</xdr:row>
      <xdr:rowOff>0</xdr:rowOff>
    </xdr:to>
    <xdr:graphicFrame macro="">
      <xdr:nvGraphicFramePr>
        <xdr:cNvPr id="2055" name="Graphique 7">
          <a:extLst>
            <a:ext uri="{FF2B5EF4-FFF2-40B4-BE49-F238E27FC236}">
              <a16:creationId xmlns:a16="http://schemas.microsoft.com/office/drawing/2014/main" id="{E41A576D-82B3-4145-A7D2-F850198E8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876300</xdr:colOff>
      <xdr:row>33</xdr:row>
      <xdr:rowOff>12700</xdr:rowOff>
    </xdr:from>
    <xdr:to>
      <xdr:col>0</xdr:col>
      <xdr:colOff>876300</xdr:colOff>
      <xdr:row>33</xdr:row>
      <xdr:rowOff>76200</xdr:rowOff>
    </xdr:to>
    <xdr:sp macro="" textlink="">
      <xdr:nvSpPr>
        <xdr:cNvPr id="2056" name="Line 8">
          <a:extLst>
            <a:ext uri="{FF2B5EF4-FFF2-40B4-BE49-F238E27FC236}">
              <a16:creationId xmlns:a16="http://schemas.microsoft.com/office/drawing/2014/main" id="{8116CFB3-BD79-FD45-BEA5-9AD42E8596DE}"/>
            </a:ext>
          </a:extLst>
        </xdr:cNvPr>
        <xdr:cNvSpPr>
          <a:spLocks noChangeShapeType="1"/>
        </xdr:cNvSpPr>
      </xdr:nvSpPr>
      <xdr:spPr bwMode="auto">
        <a:xfrm>
          <a:off x="876300" y="2768600"/>
          <a:ext cx="0" cy="63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876300</xdr:colOff>
      <xdr:row>33</xdr:row>
      <xdr:rowOff>88900</xdr:rowOff>
    </xdr:from>
    <xdr:to>
      <xdr:col>0</xdr:col>
      <xdr:colOff>1663700</xdr:colOff>
      <xdr:row>33</xdr:row>
      <xdr:rowOff>88900</xdr:rowOff>
    </xdr:to>
    <xdr:sp macro="" textlink="">
      <xdr:nvSpPr>
        <xdr:cNvPr id="2057" name="Line 9">
          <a:extLst>
            <a:ext uri="{FF2B5EF4-FFF2-40B4-BE49-F238E27FC236}">
              <a16:creationId xmlns:a16="http://schemas.microsoft.com/office/drawing/2014/main" id="{523698A7-BF03-0F40-B4B1-60E4A47F563D}"/>
            </a:ext>
          </a:extLst>
        </xdr:cNvPr>
        <xdr:cNvSpPr>
          <a:spLocks noChangeShapeType="1"/>
        </xdr:cNvSpPr>
      </xdr:nvSpPr>
      <xdr:spPr bwMode="auto">
        <a:xfrm flipV="1">
          <a:off x="876300" y="2844800"/>
          <a:ext cx="787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sm" len="sm"/>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558800</xdr:colOff>
      <xdr:row>17</xdr:row>
      <xdr:rowOff>50800</xdr:rowOff>
    </xdr:from>
    <xdr:to>
      <xdr:col>9</xdr:col>
      <xdr:colOff>812800</xdr:colOff>
      <xdr:row>22</xdr:row>
      <xdr:rowOff>0</xdr:rowOff>
    </xdr:to>
    <xdr:sp macro="" textlink="">
      <xdr:nvSpPr>
        <xdr:cNvPr id="3073" name="Texte 5">
          <a:extLst>
            <a:ext uri="{FF2B5EF4-FFF2-40B4-BE49-F238E27FC236}">
              <a16:creationId xmlns:a16="http://schemas.microsoft.com/office/drawing/2014/main" id="{86D07CED-CFDB-B94B-BB7D-2F33F45A121D}"/>
            </a:ext>
          </a:extLst>
        </xdr:cNvPr>
        <xdr:cNvSpPr txBox="1">
          <a:spLocks noChangeArrowheads="1"/>
        </xdr:cNvSpPr>
      </xdr:nvSpPr>
      <xdr:spPr bwMode="auto">
        <a:xfrm>
          <a:off x="6616700" y="228600"/>
          <a:ext cx="3175000" cy="838200"/>
        </a:xfrm>
        <a:prstGeom prst="rect">
          <a:avLst/>
        </a:prstGeom>
        <a:solidFill>
          <a:srgbClr xmlns:mc="http://schemas.openxmlformats.org/markup-compatibility/2006" xmlns:a14="http://schemas.microsoft.com/office/drawing/2010/main" val="FF0000" mc:Ignorable="a14" a14:legacySpreadsheetColorIndex="10"/>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18288" tIns="18288" rIns="18288" bIns="0" anchor="t" upright="1"/>
        <a:lstStyle/>
        <a:p>
          <a:pPr algn="ctr" rtl="0">
            <a:defRPr sz="1000"/>
          </a:pPr>
          <a:endParaRPr lang="fr-FR" sz="800" b="0" i="0" u="none" strike="noStrike" baseline="0">
            <a:solidFill>
              <a:srgbClr val="FFFFFF"/>
            </a:solidFill>
            <a:latin typeface="Arial" pitchFamily="2" charset="0"/>
            <a:cs typeface="Arial" pitchFamily="2" charset="0"/>
          </a:endParaRPr>
        </a:p>
        <a:p>
          <a:pPr algn="ctr" rtl="0">
            <a:defRPr sz="1000"/>
          </a:pPr>
          <a:r>
            <a:rPr lang="fr-FR" sz="1600" b="1" i="0" u="none" strike="noStrike" baseline="0">
              <a:solidFill>
                <a:srgbClr val="FFFFFF"/>
              </a:solidFill>
              <a:latin typeface="Arial" pitchFamily="2" charset="0"/>
              <a:cs typeface="Arial" pitchFamily="2" charset="0"/>
            </a:rPr>
            <a:t>ETATS FINANCIERS Prévisionnels </a:t>
          </a:r>
          <a:r>
            <a:rPr lang="fr-FR" sz="1400" b="1" i="0" u="none" strike="noStrike" baseline="0">
              <a:solidFill>
                <a:srgbClr val="FFFFFF"/>
              </a:solidFill>
              <a:latin typeface="Arial" pitchFamily="2" charset="0"/>
              <a:cs typeface="Arial" pitchFamily="2" charset="0"/>
            </a:rPr>
            <a:t>(à 7 ans)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558800</xdr:colOff>
      <xdr:row>1</xdr:row>
      <xdr:rowOff>88900</xdr:rowOff>
    </xdr:from>
    <xdr:to>
      <xdr:col>9</xdr:col>
      <xdr:colOff>812800</xdr:colOff>
      <xdr:row>5</xdr:row>
      <xdr:rowOff>12700</xdr:rowOff>
    </xdr:to>
    <xdr:sp macro="" textlink="">
      <xdr:nvSpPr>
        <xdr:cNvPr id="6145" name="Texte 5">
          <a:extLst>
            <a:ext uri="{FF2B5EF4-FFF2-40B4-BE49-F238E27FC236}">
              <a16:creationId xmlns:a16="http://schemas.microsoft.com/office/drawing/2014/main" id="{DADDC608-17D2-2D43-BF01-88DBEDC044F4}"/>
            </a:ext>
          </a:extLst>
        </xdr:cNvPr>
        <xdr:cNvSpPr txBox="1">
          <a:spLocks noChangeArrowheads="1"/>
        </xdr:cNvSpPr>
      </xdr:nvSpPr>
      <xdr:spPr bwMode="auto">
        <a:xfrm>
          <a:off x="6629400" y="254000"/>
          <a:ext cx="3175000" cy="635000"/>
        </a:xfrm>
        <a:prstGeom prst="rect">
          <a:avLst/>
        </a:prstGeom>
        <a:solidFill>
          <a:srgbClr xmlns:mc="http://schemas.openxmlformats.org/markup-compatibility/2006" xmlns:a14="http://schemas.microsoft.com/office/drawing/2010/main" val="FF0000" mc:Ignorable="a14" a14:legacySpreadsheetColorIndex="10"/>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18288" tIns="18288" rIns="18288" bIns="0" anchor="t" upright="1"/>
        <a:lstStyle/>
        <a:p>
          <a:pPr algn="ctr" rtl="0">
            <a:defRPr sz="1000"/>
          </a:pPr>
          <a:endParaRPr lang="fr-FR" sz="800" b="0" i="0" u="none" strike="noStrike" baseline="0">
            <a:solidFill>
              <a:srgbClr val="FFFFFF"/>
            </a:solidFill>
            <a:latin typeface="Arial" pitchFamily="2" charset="0"/>
            <a:cs typeface="Arial" pitchFamily="2" charset="0"/>
          </a:endParaRPr>
        </a:p>
        <a:p>
          <a:pPr algn="ctr" rtl="0">
            <a:defRPr sz="1000"/>
          </a:pPr>
          <a:r>
            <a:rPr lang="fr-FR" sz="1600" b="1" i="0" u="none" strike="noStrike" baseline="0">
              <a:solidFill>
                <a:srgbClr val="FFFFFF"/>
              </a:solidFill>
              <a:latin typeface="Arial" pitchFamily="2" charset="0"/>
              <a:cs typeface="Arial" pitchFamily="2" charset="0"/>
            </a:rPr>
            <a:t>SERVICE DE LA DETTE </a:t>
          </a:r>
        </a:p>
      </xdr:txBody>
    </xdr:sp>
    <xdr:clientData/>
  </xdr:twoCellAnchor>
  <xdr:twoCellAnchor>
    <xdr:from>
      <xdr:col>0</xdr:col>
      <xdr:colOff>0</xdr:colOff>
      <xdr:row>42</xdr:row>
      <xdr:rowOff>0</xdr:rowOff>
    </xdr:from>
    <xdr:to>
      <xdr:col>4</xdr:col>
      <xdr:colOff>406400</xdr:colOff>
      <xdr:row>42</xdr:row>
      <xdr:rowOff>0</xdr:rowOff>
    </xdr:to>
    <xdr:graphicFrame macro="">
      <xdr:nvGraphicFramePr>
        <xdr:cNvPr id="6146" name="Graphique 2">
          <a:extLst>
            <a:ext uri="{FF2B5EF4-FFF2-40B4-BE49-F238E27FC236}">
              <a16:creationId xmlns:a16="http://schemas.microsoft.com/office/drawing/2014/main" id="{1B6AD240-932C-9743-9BDC-33C18F7B3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42</xdr:row>
      <xdr:rowOff>0</xdr:rowOff>
    </xdr:from>
    <xdr:to>
      <xdr:col>9</xdr:col>
      <xdr:colOff>88900</xdr:colOff>
      <xdr:row>42</xdr:row>
      <xdr:rowOff>0</xdr:rowOff>
    </xdr:to>
    <xdr:graphicFrame macro="">
      <xdr:nvGraphicFramePr>
        <xdr:cNvPr id="6147" name="Graphique 3">
          <a:extLst>
            <a:ext uri="{FF2B5EF4-FFF2-40B4-BE49-F238E27FC236}">
              <a16:creationId xmlns:a16="http://schemas.microsoft.com/office/drawing/2014/main" id="{7A044E1C-91D0-6143-8FF6-A83BBD398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42</xdr:row>
      <xdr:rowOff>0</xdr:rowOff>
    </xdr:from>
    <xdr:to>
      <xdr:col>14</xdr:col>
      <xdr:colOff>0</xdr:colOff>
      <xdr:row>42</xdr:row>
      <xdr:rowOff>0</xdr:rowOff>
    </xdr:to>
    <xdr:graphicFrame macro="">
      <xdr:nvGraphicFramePr>
        <xdr:cNvPr id="6148" name="Graphique 4">
          <a:extLst>
            <a:ext uri="{FF2B5EF4-FFF2-40B4-BE49-F238E27FC236}">
              <a16:creationId xmlns:a16="http://schemas.microsoft.com/office/drawing/2014/main" id="{F467B020-72F7-C94A-AC5F-245C1722C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42</xdr:row>
      <xdr:rowOff>0</xdr:rowOff>
    </xdr:from>
    <xdr:to>
      <xdr:col>4</xdr:col>
      <xdr:colOff>406400</xdr:colOff>
      <xdr:row>42</xdr:row>
      <xdr:rowOff>0</xdr:rowOff>
    </xdr:to>
    <xdr:graphicFrame macro="">
      <xdr:nvGraphicFramePr>
        <xdr:cNvPr id="6149" name="Graphique 5">
          <a:extLst>
            <a:ext uri="{FF2B5EF4-FFF2-40B4-BE49-F238E27FC236}">
              <a16:creationId xmlns:a16="http://schemas.microsoft.com/office/drawing/2014/main" id="{AE0A1B70-CB08-4544-A245-AC05A5BC1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609600</xdr:colOff>
      <xdr:row>42</xdr:row>
      <xdr:rowOff>0</xdr:rowOff>
    </xdr:from>
    <xdr:to>
      <xdr:col>9</xdr:col>
      <xdr:colOff>88900</xdr:colOff>
      <xdr:row>42</xdr:row>
      <xdr:rowOff>0</xdr:rowOff>
    </xdr:to>
    <xdr:graphicFrame macro="">
      <xdr:nvGraphicFramePr>
        <xdr:cNvPr id="6150" name="Graphique 6">
          <a:extLst>
            <a:ext uri="{FF2B5EF4-FFF2-40B4-BE49-F238E27FC236}">
              <a16:creationId xmlns:a16="http://schemas.microsoft.com/office/drawing/2014/main" id="{74648DA0-1512-444D-B966-BCEC09991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304800</xdr:colOff>
      <xdr:row>42</xdr:row>
      <xdr:rowOff>0</xdr:rowOff>
    </xdr:from>
    <xdr:to>
      <xdr:col>14</xdr:col>
      <xdr:colOff>0</xdr:colOff>
      <xdr:row>42</xdr:row>
      <xdr:rowOff>0</xdr:rowOff>
    </xdr:to>
    <xdr:graphicFrame macro="">
      <xdr:nvGraphicFramePr>
        <xdr:cNvPr id="6151" name="Graphique 7">
          <a:extLst>
            <a:ext uri="{FF2B5EF4-FFF2-40B4-BE49-F238E27FC236}">
              <a16:creationId xmlns:a16="http://schemas.microsoft.com/office/drawing/2014/main" id="{0A4BCA7F-42F1-B242-8DF6-0FEAC7BF7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406400</xdr:colOff>
      <xdr:row>29</xdr:row>
      <xdr:rowOff>0</xdr:rowOff>
    </xdr:to>
    <xdr:graphicFrame macro="">
      <xdr:nvGraphicFramePr>
        <xdr:cNvPr id="7169" name="Graphique 1">
          <a:extLst>
            <a:ext uri="{FF2B5EF4-FFF2-40B4-BE49-F238E27FC236}">
              <a16:creationId xmlns:a16="http://schemas.microsoft.com/office/drawing/2014/main" id="{C589D821-DD87-E442-9AD5-0D5DD6632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596900</xdr:colOff>
      <xdr:row>8</xdr:row>
      <xdr:rowOff>0</xdr:rowOff>
    </xdr:from>
    <xdr:to>
      <xdr:col>7</xdr:col>
      <xdr:colOff>88900</xdr:colOff>
      <xdr:row>29</xdr:row>
      <xdr:rowOff>0</xdr:rowOff>
    </xdr:to>
    <xdr:graphicFrame macro="">
      <xdr:nvGraphicFramePr>
        <xdr:cNvPr id="7170" name="Graphique 2">
          <a:extLst>
            <a:ext uri="{FF2B5EF4-FFF2-40B4-BE49-F238E27FC236}">
              <a16:creationId xmlns:a16="http://schemas.microsoft.com/office/drawing/2014/main" id="{FD7D2AB7-A774-4B45-BD34-A46FBF21D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8</xdr:row>
      <xdr:rowOff>0</xdr:rowOff>
    </xdr:from>
    <xdr:to>
      <xdr:col>12</xdr:col>
      <xdr:colOff>0</xdr:colOff>
      <xdr:row>29</xdr:row>
      <xdr:rowOff>0</xdr:rowOff>
    </xdr:to>
    <xdr:graphicFrame macro="">
      <xdr:nvGraphicFramePr>
        <xdr:cNvPr id="7171" name="Graphique 3">
          <a:extLst>
            <a:ext uri="{FF2B5EF4-FFF2-40B4-BE49-F238E27FC236}">
              <a16:creationId xmlns:a16="http://schemas.microsoft.com/office/drawing/2014/main" id="{BFE98981-9414-354D-9CCB-7244313C6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0</xdr:rowOff>
    </xdr:from>
    <xdr:to>
      <xdr:col>2</xdr:col>
      <xdr:colOff>406400</xdr:colOff>
      <xdr:row>51</xdr:row>
      <xdr:rowOff>0</xdr:rowOff>
    </xdr:to>
    <xdr:graphicFrame macro="">
      <xdr:nvGraphicFramePr>
        <xdr:cNvPr id="7172" name="Graphique 4">
          <a:extLst>
            <a:ext uri="{FF2B5EF4-FFF2-40B4-BE49-F238E27FC236}">
              <a16:creationId xmlns:a16="http://schemas.microsoft.com/office/drawing/2014/main" id="{0DB496DB-2D39-AD4C-BF97-AB177D83A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609600</xdr:colOff>
      <xdr:row>30</xdr:row>
      <xdr:rowOff>0</xdr:rowOff>
    </xdr:from>
    <xdr:to>
      <xdr:col>7</xdr:col>
      <xdr:colOff>88900</xdr:colOff>
      <xdr:row>51</xdr:row>
      <xdr:rowOff>0</xdr:rowOff>
    </xdr:to>
    <xdr:graphicFrame macro="">
      <xdr:nvGraphicFramePr>
        <xdr:cNvPr id="7173" name="Graphique 5">
          <a:extLst>
            <a:ext uri="{FF2B5EF4-FFF2-40B4-BE49-F238E27FC236}">
              <a16:creationId xmlns:a16="http://schemas.microsoft.com/office/drawing/2014/main" id="{0A039823-91B1-384F-9CA5-6E28DA883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304800</xdr:colOff>
      <xdr:row>30</xdr:row>
      <xdr:rowOff>0</xdr:rowOff>
    </xdr:from>
    <xdr:to>
      <xdr:col>12</xdr:col>
      <xdr:colOff>0</xdr:colOff>
      <xdr:row>51</xdr:row>
      <xdr:rowOff>0</xdr:rowOff>
    </xdr:to>
    <xdr:graphicFrame macro="">
      <xdr:nvGraphicFramePr>
        <xdr:cNvPr id="7174" name="Graphique 6">
          <a:extLst>
            <a:ext uri="{FF2B5EF4-FFF2-40B4-BE49-F238E27FC236}">
              <a16:creationId xmlns:a16="http://schemas.microsoft.com/office/drawing/2014/main" id="{D54982EA-E238-DD47-85F8-D1445D43F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165100</xdr:colOff>
      <xdr:row>0</xdr:row>
      <xdr:rowOff>127000</xdr:rowOff>
    </xdr:from>
    <xdr:to>
      <xdr:col>6</xdr:col>
      <xdr:colOff>393700</xdr:colOff>
      <xdr:row>5</xdr:row>
      <xdr:rowOff>101600</xdr:rowOff>
    </xdr:to>
    <xdr:sp macro="" textlink="">
      <xdr:nvSpPr>
        <xdr:cNvPr id="7175" name="Texte 7">
          <a:extLst>
            <a:ext uri="{FF2B5EF4-FFF2-40B4-BE49-F238E27FC236}">
              <a16:creationId xmlns:a16="http://schemas.microsoft.com/office/drawing/2014/main" id="{CFAB78D2-9A12-2F40-AB69-D8A2956CB7E3}"/>
            </a:ext>
          </a:extLst>
        </xdr:cNvPr>
        <xdr:cNvSpPr txBox="1">
          <a:spLocks noChangeArrowheads="1"/>
        </xdr:cNvSpPr>
      </xdr:nvSpPr>
      <xdr:spPr bwMode="auto">
        <a:xfrm>
          <a:off x="6235700" y="127000"/>
          <a:ext cx="2159000" cy="863600"/>
        </a:xfrm>
        <a:prstGeom prst="rect">
          <a:avLst/>
        </a:prstGeom>
        <a:solidFill>
          <a:srgbClr xmlns:mc="http://schemas.openxmlformats.org/markup-compatibility/2006" xmlns:a14="http://schemas.microsoft.com/office/drawing/2010/main" val="FF0000" mc:Ignorable="a14" a14:legacySpreadsheetColorIndex="10"/>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18288" tIns="18288" rIns="18288" bIns="0" anchor="t" upright="1"/>
        <a:lstStyle/>
        <a:p>
          <a:pPr algn="ctr" rtl="0">
            <a:defRPr sz="1000"/>
          </a:pPr>
          <a:endParaRPr lang="fr-FR" sz="800" b="0" i="0" u="none" strike="noStrike" baseline="0">
            <a:solidFill>
              <a:srgbClr val="FFFFFF"/>
            </a:solidFill>
            <a:latin typeface="Arial" pitchFamily="2" charset="0"/>
            <a:cs typeface="Arial" pitchFamily="2" charset="0"/>
          </a:endParaRPr>
        </a:p>
        <a:p>
          <a:pPr algn="ctr" rtl="0">
            <a:defRPr sz="1000"/>
          </a:pPr>
          <a:r>
            <a:rPr lang="fr-FR" sz="1800" b="1" i="0" u="none" strike="noStrike" baseline="0">
              <a:solidFill>
                <a:srgbClr val="FFFFFF"/>
              </a:solidFill>
              <a:latin typeface="Arial" pitchFamily="2" charset="0"/>
              <a:cs typeface="Arial" pitchFamily="2" charset="0"/>
            </a:rPr>
            <a:t>GRAPHIQUES</a:t>
          </a:r>
          <a:endParaRPr lang="fr-FR" sz="1600" b="1" i="0" u="none" strike="noStrike" baseline="0">
            <a:solidFill>
              <a:srgbClr val="FFFFFF"/>
            </a:solidFill>
            <a:latin typeface="Arial" pitchFamily="2" charset="0"/>
            <a:cs typeface="Arial" pitchFamily="2" charset="0"/>
          </a:endParaRPr>
        </a:p>
        <a:p>
          <a:pPr algn="ctr" rtl="0">
            <a:defRPr sz="1000"/>
          </a:pPr>
          <a:r>
            <a:rPr lang="fr-FR" sz="1400" b="1" i="0" u="none" strike="noStrike" baseline="0">
              <a:solidFill>
                <a:srgbClr val="FFFFFF"/>
              </a:solidFill>
              <a:latin typeface="Arial" pitchFamily="2" charset="0"/>
              <a:cs typeface="Arial" pitchFamily="2" charset="0"/>
            </a:rPr>
            <a:t>(Prévisions à 7 ans)</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0.35011</cdr:x>
      <cdr:y>0.86139</cdr:y>
    </cdr:from>
    <cdr:to>
      <cdr:x>0.37355</cdr:x>
      <cdr:y>0.91927</cdr:y>
    </cdr:to>
    <cdr:sp macro="" textlink="">
      <cdr:nvSpPr>
        <cdr:cNvPr id="8193" name="Texte 1">
          <a:extLst xmlns:a="http://schemas.openxmlformats.org/drawingml/2006/main">
            <a:ext uri="{FF2B5EF4-FFF2-40B4-BE49-F238E27FC236}">
              <a16:creationId xmlns:a16="http://schemas.microsoft.com/office/drawing/2014/main" id="{EEC68FED-34DC-1F4E-ADB0-B72411449D31}"/>
            </a:ext>
          </a:extLst>
        </cdr:cNvPr>
        <cdr:cNvSpPr txBox="1">
          <a:spLocks xmlns:a="http://schemas.openxmlformats.org/drawingml/2006/main" noChangeArrowheads="1"/>
        </cdr:cNvSpPr>
      </cdr:nvSpPr>
      <cdr:spPr bwMode="auto">
        <a:xfrm xmlns:a="http://schemas.openxmlformats.org/drawingml/2006/main">
          <a:off x="1511783" y="3216262"/>
          <a:ext cx="101193" cy="21611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18288" tIns="18288" rIns="18288" bIns="18288" anchor="ctr" upright="1">
          <a:spAutoFit/>
        </a:bodyPr>
        <a:lstStyle xmlns:a="http://schemas.openxmlformats.org/drawingml/2006/main"/>
        <a:p xmlns:a="http://schemas.openxmlformats.org/drawingml/2006/main">
          <a:pPr algn="ctr" rtl="0">
            <a:defRPr sz="1000"/>
          </a:pPr>
          <a:r>
            <a:rPr lang="fr-FR" sz="1000" b="0" i="0" u="none" strike="noStrike" baseline="0">
              <a:solidFill>
                <a:srgbClr val="000000"/>
              </a:solidFill>
              <a:latin typeface="Arial" charset="0"/>
              <a:cs typeface="Arial" charset="0"/>
            </a:rPr>
            <a:t> </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FORFAIT%20Cas%201%20TARZAALI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LGS00900001/Users$/856527/Emir/PC/20.%20MERIPLAST/2010_274%20MERIPLAST/Etats%20Financiers%20MERIPLAST%20SARL-2007-2008-2009-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remplir sur model"/>
      <sheetName val="Feuil3"/>
      <sheetName val="Saisie actif"/>
      <sheetName val="Saisie passif"/>
      <sheetName val="Saisie TCR"/>
    </sheetNames>
    <sheetDataSet>
      <sheetData sheetId="0"/>
      <sheetData sheetId="1"/>
      <sheetData sheetId="2">
        <row r="34">
          <cell r="F34">
            <v>139179.85800000001</v>
          </cell>
          <cell r="P34">
            <v>116078.29699999999</v>
          </cell>
          <cell r="R34">
            <v>87000.133000000002</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isie"/>
      <sheetName val="Ratios"/>
      <sheetName val="Etatsfin"/>
      <sheetName val="Hypo"/>
      <sheetName val="PrSept"/>
      <sheetName val="Dette"/>
      <sheetName val="Graph"/>
    </sheetNames>
    <sheetDataSet>
      <sheetData sheetId="0" refreshError="1"/>
      <sheetData sheetId="1" refreshError="1"/>
      <sheetData sheetId="2">
        <row r="8">
          <cell r="F8">
            <v>101683.47899999998</v>
          </cell>
        </row>
        <row r="14">
          <cell r="F14">
            <v>97448.093999999983</v>
          </cell>
        </row>
        <row r="21">
          <cell r="F21">
            <v>676088.32299999997</v>
          </cell>
        </row>
      </sheetData>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DCEA3-EAC0-A14E-B8AC-C46441A4D615}">
  <sheetPr>
    <tabColor rgb="FF00915A"/>
  </sheetPr>
  <dimension ref="C1:R36"/>
  <sheetViews>
    <sheetView showGridLines="0" tabSelected="1" zoomScaleNormal="100" zoomScaleSheetLayoutView="100" workbookViewId="0">
      <pane xSplit="3" ySplit="7" topLeftCell="D8" activePane="bottomRight" state="frozen"/>
      <selection pane="topRight" activeCell="D1" sqref="D1"/>
      <selection pane="bottomLeft" activeCell="A6" sqref="A6"/>
      <selection pane="bottomRight" activeCell="K19" sqref="K19"/>
    </sheetView>
  </sheetViews>
  <sheetFormatPr baseColWidth="10" defaultColWidth="10.5" defaultRowHeight="18" customHeight="1" x14ac:dyDescent="0.15"/>
  <cols>
    <col min="1" max="2" width="4.33203125" style="1408" customWidth="1"/>
    <col min="3" max="3" width="44" style="1408" customWidth="1"/>
    <col min="4" max="4" width="15" style="1409" customWidth="1"/>
    <col min="5" max="5" width="55.1640625" style="1409" customWidth="1"/>
    <col min="6" max="7" width="15" style="1409" customWidth="1"/>
    <col min="8" max="8" width="55.1640625" style="1409" customWidth="1"/>
    <col min="9" max="10" width="15" style="1409" customWidth="1"/>
    <col min="11" max="11" width="55.1640625" style="1409" customWidth="1"/>
    <col min="12" max="13" width="15" style="1409" customWidth="1"/>
    <col min="14" max="14" width="55.1640625" style="1409" customWidth="1"/>
    <col min="15" max="16" width="15" style="1409" customWidth="1"/>
    <col min="17" max="17" width="55.1640625" style="1409" customWidth="1"/>
    <col min="18" max="18" width="15" style="1409" customWidth="1"/>
    <col min="19" max="19" width="10.5" style="1408" customWidth="1"/>
    <col min="20" max="20" width="10.83203125" style="1408" customWidth="1"/>
    <col min="21" max="23" width="10.5" style="1408" customWidth="1"/>
    <col min="24" max="16384" width="10.5" style="1408"/>
  </cols>
  <sheetData>
    <row r="1" spans="3:18" ht="18" customHeight="1" x14ac:dyDescent="0.15">
      <c r="C1" s="1435" t="s">
        <v>1016</v>
      </c>
      <c r="D1" s="1436"/>
      <c r="E1" s="1436"/>
      <c r="F1" s="1436"/>
      <c r="G1" s="1436"/>
      <c r="H1" s="1436"/>
      <c r="I1" s="1436"/>
      <c r="J1" s="1436"/>
      <c r="K1" s="1436"/>
      <c r="L1" s="1436"/>
      <c r="M1" s="1436"/>
      <c r="N1" s="1436"/>
      <c r="O1" s="1436"/>
      <c r="P1" s="1436"/>
      <c r="Q1" s="1436"/>
      <c r="R1" s="1436"/>
    </row>
    <row r="2" spans="3:18" ht="18" customHeight="1" x14ac:dyDescent="0.15">
      <c r="C2" s="1435" t="s">
        <v>1017</v>
      </c>
      <c r="D2" s="1436"/>
      <c r="E2" s="1436"/>
      <c r="F2" s="1436"/>
      <c r="G2" s="1436"/>
      <c r="H2" s="1436"/>
      <c r="I2" s="1436"/>
      <c r="J2" s="1436"/>
      <c r="K2" s="1436"/>
      <c r="L2" s="1436"/>
      <c r="M2" s="1436"/>
      <c r="N2" s="1436"/>
      <c r="O2" s="1436"/>
      <c r="P2" s="1436"/>
      <c r="Q2" s="1436"/>
      <c r="R2" s="1436"/>
    </row>
    <row r="3" spans="3:18" ht="18" customHeight="1" x14ac:dyDescent="0.15">
      <c r="C3" s="1435" t="s">
        <v>1018</v>
      </c>
      <c r="D3" s="1436"/>
      <c r="E3" s="1436"/>
      <c r="F3" s="1436"/>
      <c r="G3" s="1436"/>
      <c r="H3" s="1436"/>
      <c r="I3" s="1436"/>
      <c r="J3" s="1436"/>
      <c r="K3" s="1436"/>
      <c r="L3" s="1436"/>
      <c r="M3" s="1436"/>
      <c r="N3" s="1436"/>
      <c r="O3" s="1436"/>
      <c r="P3" s="1436"/>
      <c r="Q3" s="1436"/>
      <c r="R3" s="1436"/>
    </row>
    <row r="4" spans="3:18" ht="14.25" customHeight="1" x14ac:dyDescent="0.15">
      <c r="C4" s="1512" t="s">
        <v>892</v>
      </c>
      <c r="D4" s="1513" t="s">
        <v>893</v>
      </c>
      <c r="E4" s="1513"/>
      <c r="F4" s="1513"/>
      <c r="G4" s="1513" t="s">
        <v>893</v>
      </c>
      <c r="H4" s="1513"/>
      <c r="I4" s="1513"/>
      <c r="J4" s="1513" t="s">
        <v>893</v>
      </c>
      <c r="K4" s="1513"/>
      <c r="L4" s="1513"/>
      <c r="M4" s="1513" t="s">
        <v>893</v>
      </c>
      <c r="N4" s="1513"/>
      <c r="O4" s="1513"/>
      <c r="P4" s="1513" t="s">
        <v>893</v>
      </c>
      <c r="Q4" s="1513"/>
      <c r="R4" s="1513"/>
    </row>
    <row r="5" spans="3:18" ht="14.25" customHeight="1" x14ac:dyDescent="0.15">
      <c r="C5" s="1512"/>
      <c r="D5" s="1514" t="s">
        <v>70</v>
      </c>
      <c r="E5" s="1514"/>
      <c r="F5" s="1514"/>
      <c r="G5" s="1514" t="s">
        <v>70</v>
      </c>
      <c r="H5" s="1514"/>
      <c r="I5" s="1514"/>
      <c r="J5" s="1514" t="s">
        <v>70</v>
      </c>
      <c r="K5" s="1514"/>
      <c r="L5" s="1514"/>
      <c r="M5" s="1514" t="s">
        <v>70</v>
      </c>
      <c r="N5" s="1514"/>
      <c r="O5" s="1514"/>
      <c r="P5" s="1514" t="s">
        <v>70</v>
      </c>
      <c r="Q5" s="1514"/>
      <c r="R5" s="1514"/>
    </row>
    <row r="6" spans="3:18" ht="14.25" customHeight="1" x14ac:dyDescent="0.15">
      <c r="C6" s="1512"/>
      <c r="D6" s="1513" t="s">
        <v>1011</v>
      </c>
      <c r="E6" s="1513"/>
      <c r="F6" s="1513"/>
      <c r="G6" s="1513" t="s">
        <v>1010</v>
      </c>
      <c r="H6" s="1513"/>
      <c r="I6" s="1513"/>
      <c r="J6" s="1513" t="s">
        <v>1009</v>
      </c>
      <c r="K6" s="1513"/>
      <c r="L6" s="1513"/>
      <c r="M6" s="1513" t="s">
        <v>895</v>
      </c>
      <c r="N6" s="1513"/>
      <c r="O6" s="1513"/>
      <c r="P6" s="1513" t="s">
        <v>894</v>
      </c>
      <c r="Q6" s="1513"/>
      <c r="R6" s="1513"/>
    </row>
    <row r="7" spans="3:18" ht="14.25" customHeight="1" x14ac:dyDescent="0.15">
      <c r="C7" s="1512"/>
      <c r="D7" s="1515"/>
      <c r="E7" s="1515"/>
      <c r="F7" s="1515"/>
      <c r="G7" s="1515"/>
      <c r="H7" s="1515"/>
      <c r="I7" s="1515"/>
      <c r="J7" s="1515"/>
      <c r="K7" s="1515"/>
      <c r="L7" s="1515"/>
      <c r="M7" s="1515"/>
      <c r="N7" s="1515"/>
      <c r="O7" s="1515"/>
      <c r="P7" s="1515"/>
      <c r="Q7" s="1515"/>
      <c r="R7" s="1515"/>
    </row>
    <row r="8" spans="3:18" ht="28" x14ac:dyDescent="0.15">
      <c r="C8" s="1512"/>
      <c r="D8" s="1437" t="s">
        <v>897</v>
      </c>
      <c r="E8" s="1438" t="s">
        <v>898</v>
      </c>
      <c r="F8" s="1439" t="s">
        <v>899</v>
      </c>
      <c r="G8" s="1437" t="s">
        <v>897</v>
      </c>
      <c r="H8" s="1438" t="s">
        <v>898</v>
      </c>
      <c r="I8" s="1439" t="s">
        <v>899</v>
      </c>
      <c r="J8" s="1437" t="s">
        <v>897</v>
      </c>
      <c r="K8" s="1438" t="s">
        <v>898</v>
      </c>
      <c r="L8" s="1439" t="s">
        <v>899</v>
      </c>
      <c r="M8" s="1437" t="s">
        <v>900</v>
      </c>
      <c r="N8" s="1438" t="s">
        <v>898</v>
      </c>
      <c r="O8" s="1439" t="s">
        <v>899</v>
      </c>
      <c r="P8" s="1437" t="s">
        <v>900</v>
      </c>
      <c r="Q8" s="1438" t="s">
        <v>898</v>
      </c>
      <c r="R8" s="1439" t="s">
        <v>899</v>
      </c>
    </row>
    <row r="9" spans="3:18" ht="18" customHeight="1" x14ac:dyDescent="0.15">
      <c r="C9" s="1440" t="s">
        <v>901</v>
      </c>
      <c r="D9" s="1441">
        <f>+D11+D12+D17+D18+D10</f>
        <v>98524.756999999998</v>
      </c>
      <c r="E9" s="1442">
        <f t="shared" ref="E9:F9" si="0">+E11+E12+E17+E18+E10</f>
        <v>38132.172999999995</v>
      </c>
      <c r="F9" s="1443">
        <f t="shared" si="0"/>
        <v>60392.584000000003</v>
      </c>
      <c r="G9" s="1441">
        <f>+G11+G12+G17+G18+G10</f>
        <v>98524.756999999998</v>
      </c>
      <c r="H9" s="1442">
        <f t="shared" ref="H9:I9" si="1">+H11+H12+H17+H18+H10</f>
        <v>38132.172999999995</v>
      </c>
      <c r="I9" s="1443">
        <f t="shared" si="1"/>
        <v>60392.584000000003</v>
      </c>
      <c r="J9" s="1441">
        <f>+J11+J12+J17+J18+J10</f>
        <v>98524.756999999998</v>
      </c>
      <c r="K9" s="1442">
        <f t="shared" ref="K9:L9" si="2">+K11+K12+K17+K18+K10</f>
        <v>38132.172999999995</v>
      </c>
      <c r="L9" s="1443">
        <f t="shared" si="2"/>
        <v>60392.584000000003</v>
      </c>
      <c r="M9" s="1441">
        <f t="shared" ref="M9:R9" si="3">+M11+M12+M17+M18+M10</f>
        <v>78788.03</v>
      </c>
      <c r="N9" s="1442">
        <f t="shared" si="3"/>
        <v>29078.164000000001</v>
      </c>
      <c r="O9" s="1443">
        <f t="shared" si="3"/>
        <v>49709.865999999995</v>
      </c>
      <c r="P9" s="1441">
        <f t="shared" si="3"/>
        <v>78788.03</v>
      </c>
      <c r="Q9" s="1442">
        <f t="shared" si="3"/>
        <v>29078.164000000001</v>
      </c>
      <c r="R9" s="1443">
        <f t="shared" si="3"/>
        <v>49709.865999999995</v>
      </c>
    </row>
    <row r="10" spans="3:18" ht="18" customHeight="1" x14ac:dyDescent="0.15">
      <c r="C10" s="1444" t="s">
        <v>902</v>
      </c>
      <c r="D10" s="1445"/>
      <c r="E10" s="1446"/>
      <c r="F10" s="1447">
        <f>+D10-E10</f>
        <v>0</v>
      </c>
      <c r="G10" s="1445"/>
      <c r="H10" s="1446"/>
      <c r="I10" s="1447">
        <f>+G10-H10</f>
        <v>0</v>
      </c>
      <c r="J10" s="1445"/>
      <c r="K10" s="1446"/>
      <c r="L10" s="1447">
        <f>+J10-K10</f>
        <v>0</v>
      </c>
      <c r="M10" s="1445"/>
      <c r="N10" s="1446"/>
      <c r="O10" s="1447">
        <f>+M10-N10</f>
        <v>0</v>
      </c>
      <c r="P10" s="1445"/>
      <c r="Q10" s="1446"/>
      <c r="R10" s="1447">
        <f>+P10-Q10</f>
        <v>0</v>
      </c>
    </row>
    <row r="11" spans="3:18" ht="18" customHeight="1" x14ac:dyDescent="0.15">
      <c r="C11" s="1444" t="s">
        <v>903</v>
      </c>
      <c r="D11" s="1448">
        <v>1670</v>
      </c>
      <c r="E11" s="1449">
        <v>775.50099999999998</v>
      </c>
      <c r="F11" s="1447">
        <f>+D11-E11</f>
        <v>894.49900000000002</v>
      </c>
      <c r="G11" s="1448">
        <v>1670</v>
      </c>
      <c r="H11" s="1449">
        <v>775.50099999999998</v>
      </c>
      <c r="I11" s="1447">
        <f>+G11-H11</f>
        <v>894.49900000000002</v>
      </c>
      <c r="J11" s="1448">
        <v>1670</v>
      </c>
      <c r="K11" s="1449">
        <v>775.50099999999998</v>
      </c>
      <c r="L11" s="1447">
        <f>+J11-K11</f>
        <v>894.49900000000002</v>
      </c>
      <c r="M11" s="1448">
        <v>1520</v>
      </c>
      <c r="N11" s="1449">
        <v>459</v>
      </c>
      <c r="O11" s="1447">
        <f>+M11-N11</f>
        <v>1061</v>
      </c>
      <c r="P11" s="1448">
        <v>1520</v>
      </c>
      <c r="Q11" s="1449">
        <v>459</v>
      </c>
      <c r="R11" s="1447">
        <f>+P11-Q11</f>
        <v>1061</v>
      </c>
    </row>
    <row r="12" spans="3:18" ht="18" customHeight="1" x14ac:dyDescent="0.15">
      <c r="C12" s="1450" t="s">
        <v>904</v>
      </c>
      <c r="D12" s="1451">
        <f t="shared" ref="D12:F12" si="4">SUM(D13:D16)</f>
        <v>96854.756999999998</v>
      </c>
      <c r="E12" s="1452">
        <f t="shared" si="4"/>
        <v>37356.671999999999</v>
      </c>
      <c r="F12" s="1453">
        <f t="shared" si="4"/>
        <v>59498.084999999999</v>
      </c>
      <c r="G12" s="1451">
        <f t="shared" ref="G12:I12" si="5">SUM(G13:G16)</f>
        <v>96854.756999999998</v>
      </c>
      <c r="H12" s="1452">
        <f t="shared" si="5"/>
        <v>37356.671999999999</v>
      </c>
      <c r="I12" s="1453">
        <f t="shared" si="5"/>
        <v>59498.084999999999</v>
      </c>
      <c r="J12" s="1451">
        <f t="shared" ref="J12:L12" si="6">SUM(J13:J16)</f>
        <v>96854.756999999998</v>
      </c>
      <c r="K12" s="1452">
        <f t="shared" si="6"/>
        <v>37356.671999999999</v>
      </c>
      <c r="L12" s="1453">
        <f t="shared" si="6"/>
        <v>59498.084999999999</v>
      </c>
      <c r="M12" s="1451">
        <f t="shared" ref="M12:R12" si="7">SUM(M13:M16)</f>
        <v>77268.03</v>
      </c>
      <c r="N12" s="1452">
        <f t="shared" si="7"/>
        <v>28619.164000000001</v>
      </c>
      <c r="O12" s="1453">
        <f t="shared" si="7"/>
        <v>48648.865999999995</v>
      </c>
      <c r="P12" s="1451">
        <f t="shared" si="7"/>
        <v>77268.03</v>
      </c>
      <c r="Q12" s="1452">
        <f t="shared" si="7"/>
        <v>28619.164000000001</v>
      </c>
      <c r="R12" s="1453">
        <f t="shared" si="7"/>
        <v>48648.865999999995</v>
      </c>
    </row>
    <row r="13" spans="3:18" ht="18" customHeight="1" x14ac:dyDescent="0.15">
      <c r="C13" s="1454" t="s">
        <v>905</v>
      </c>
      <c r="D13" s="1445"/>
      <c r="E13" s="1446"/>
      <c r="F13" s="1455">
        <f>+D13-E13</f>
        <v>0</v>
      </c>
      <c r="G13" s="1445"/>
      <c r="H13" s="1446"/>
      <c r="I13" s="1455">
        <f>+G13-H13</f>
        <v>0</v>
      </c>
      <c r="J13" s="1445"/>
      <c r="K13" s="1446"/>
      <c r="L13" s="1455">
        <f>+J13-K13</f>
        <v>0</v>
      </c>
      <c r="M13" s="1445"/>
      <c r="N13" s="1446"/>
      <c r="O13" s="1455">
        <f>+M13-N13</f>
        <v>0</v>
      </c>
      <c r="P13" s="1445"/>
      <c r="Q13" s="1446"/>
      <c r="R13" s="1455">
        <f>+P13-Q13</f>
        <v>0</v>
      </c>
    </row>
    <row r="14" spans="3:18" ht="18" customHeight="1" x14ac:dyDescent="0.15">
      <c r="C14" s="1454" t="s">
        <v>906</v>
      </c>
      <c r="D14" s="1456">
        <v>6000</v>
      </c>
      <c r="E14" s="1457">
        <v>925</v>
      </c>
      <c r="F14" s="1455">
        <f>+D14-E14</f>
        <v>5075</v>
      </c>
      <c r="G14" s="1456">
        <v>6000</v>
      </c>
      <c r="H14" s="1457">
        <v>925</v>
      </c>
      <c r="I14" s="1455">
        <f>+G14-H14</f>
        <v>5075</v>
      </c>
      <c r="J14" s="1456">
        <v>6000</v>
      </c>
      <c r="K14" s="1457">
        <v>925</v>
      </c>
      <c r="L14" s="1455">
        <f>+J14-K14</f>
        <v>5075</v>
      </c>
      <c r="M14" s="1456">
        <v>6000</v>
      </c>
      <c r="N14" s="1457">
        <v>775</v>
      </c>
      <c r="O14" s="1455">
        <f>+M14-N14</f>
        <v>5225</v>
      </c>
      <c r="P14" s="1456">
        <v>6000</v>
      </c>
      <c r="Q14" s="1457">
        <v>775</v>
      </c>
      <c r="R14" s="1455">
        <f>+P14-Q14</f>
        <v>5225</v>
      </c>
    </row>
    <row r="15" spans="3:18" ht="18" customHeight="1" x14ac:dyDescent="0.15">
      <c r="C15" s="1454" t="s">
        <v>907</v>
      </c>
      <c r="D15" s="1456">
        <v>90854.756999999998</v>
      </c>
      <c r="E15" s="1457">
        <v>36431.671999999999</v>
      </c>
      <c r="F15" s="1455">
        <f>+D15-E15</f>
        <v>54423.084999999999</v>
      </c>
      <c r="G15" s="1456">
        <v>90854.756999999998</v>
      </c>
      <c r="H15" s="1457">
        <v>36431.671999999999</v>
      </c>
      <c r="I15" s="1455">
        <f>+G15-H15</f>
        <v>54423.084999999999</v>
      </c>
      <c r="J15" s="1456">
        <v>90854.756999999998</v>
      </c>
      <c r="K15" s="1457">
        <v>36431.671999999999</v>
      </c>
      <c r="L15" s="1455">
        <f>+J15-K15</f>
        <v>54423.084999999999</v>
      </c>
      <c r="M15" s="1456">
        <v>71268.03</v>
      </c>
      <c r="N15" s="1457">
        <v>27844.164000000001</v>
      </c>
      <c r="O15" s="1455">
        <f>+M15-N15</f>
        <v>43423.865999999995</v>
      </c>
      <c r="P15" s="1456">
        <v>71268.03</v>
      </c>
      <c r="Q15" s="1457">
        <v>27844.164000000001</v>
      </c>
      <c r="R15" s="1455">
        <f>+P15-Q15</f>
        <v>43423.865999999995</v>
      </c>
    </row>
    <row r="16" spans="3:18" ht="18" customHeight="1" x14ac:dyDescent="0.15">
      <c r="C16" s="1454" t="s">
        <v>908</v>
      </c>
      <c r="D16" s="1445"/>
      <c r="E16" s="1446"/>
      <c r="F16" s="1455">
        <f>+D16-E16</f>
        <v>0</v>
      </c>
      <c r="G16" s="1445"/>
      <c r="H16" s="1446"/>
      <c r="I16" s="1455">
        <f>+G16-H16</f>
        <v>0</v>
      </c>
      <c r="J16" s="1445"/>
      <c r="K16" s="1446"/>
      <c r="L16" s="1455">
        <f>+J16-K16</f>
        <v>0</v>
      </c>
      <c r="M16" s="1445"/>
      <c r="N16" s="1446"/>
      <c r="O16" s="1455">
        <f>+M16-N16</f>
        <v>0</v>
      </c>
      <c r="P16" s="1445"/>
      <c r="Q16" s="1446"/>
      <c r="R16" s="1455">
        <f>+P16-Q16</f>
        <v>0</v>
      </c>
    </row>
    <row r="17" spans="3:18" ht="18" customHeight="1" x14ac:dyDescent="0.15">
      <c r="C17" s="1444" t="s">
        <v>909</v>
      </c>
      <c r="D17" s="1458"/>
      <c r="E17" s="1459"/>
      <c r="F17" s="1447">
        <f>+D17-E17</f>
        <v>0</v>
      </c>
      <c r="G17" s="1458"/>
      <c r="H17" s="1459"/>
      <c r="I17" s="1447">
        <f>+G17-H17</f>
        <v>0</v>
      </c>
      <c r="J17" s="1458"/>
      <c r="K17" s="1459"/>
      <c r="L17" s="1447">
        <f>+J17-K17</f>
        <v>0</v>
      </c>
      <c r="M17" s="1458"/>
      <c r="N17" s="1459"/>
      <c r="O17" s="1447">
        <f>+M17-N17</f>
        <v>0</v>
      </c>
      <c r="P17" s="1458"/>
      <c r="Q17" s="1459"/>
      <c r="R17" s="1447">
        <f>+P17-Q17</f>
        <v>0</v>
      </c>
    </row>
    <row r="18" spans="3:18" ht="18" customHeight="1" x14ac:dyDescent="0.15">
      <c r="C18" s="1450" t="s">
        <v>910</v>
      </c>
      <c r="D18" s="1451">
        <f t="shared" ref="D18:F18" si="8">SUM(D19:D23)</f>
        <v>0</v>
      </c>
      <c r="E18" s="1452">
        <f t="shared" si="8"/>
        <v>0</v>
      </c>
      <c r="F18" s="1453">
        <f t="shared" si="8"/>
        <v>0</v>
      </c>
      <c r="G18" s="1451">
        <f t="shared" ref="G18:I18" si="9">SUM(G19:G23)</f>
        <v>0</v>
      </c>
      <c r="H18" s="1452">
        <f t="shared" si="9"/>
        <v>0</v>
      </c>
      <c r="I18" s="1453">
        <f t="shared" si="9"/>
        <v>0</v>
      </c>
      <c r="J18" s="1451">
        <f t="shared" ref="J18:L18" si="10">SUM(J19:J23)</f>
        <v>0</v>
      </c>
      <c r="K18" s="1452">
        <f t="shared" si="10"/>
        <v>0</v>
      </c>
      <c r="L18" s="1453">
        <f t="shared" si="10"/>
        <v>0</v>
      </c>
      <c r="M18" s="1451">
        <f t="shared" ref="M18:R18" si="11">SUM(M19:M23)</f>
        <v>0</v>
      </c>
      <c r="N18" s="1452">
        <f t="shared" si="11"/>
        <v>0</v>
      </c>
      <c r="O18" s="1453">
        <f t="shared" si="11"/>
        <v>0</v>
      </c>
      <c r="P18" s="1451">
        <f t="shared" si="11"/>
        <v>0</v>
      </c>
      <c r="Q18" s="1452">
        <f t="shared" si="11"/>
        <v>0</v>
      </c>
      <c r="R18" s="1453">
        <f t="shared" si="11"/>
        <v>0</v>
      </c>
    </row>
    <row r="19" spans="3:18" ht="18" customHeight="1" x14ac:dyDescent="0.15">
      <c r="C19" s="1454" t="s">
        <v>911</v>
      </c>
      <c r="D19" s="1445"/>
      <c r="E19" s="1446"/>
      <c r="F19" s="1455">
        <f>+D19-E19</f>
        <v>0</v>
      </c>
      <c r="G19" s="1445"/>
      <c r="H19" s="1446"/>
      <c r="I19" s="1455">
        <f>+G19-H19</f>
        <v>0</v>
      </c>
      <c r="J19" s="1445"/>
      <c r="K19" s="1446"/>
      <c r="L19" s="1455">
        <f>+J19-K19</f>
        <v>0</v>
      </c>
      <c r="M19" s="1445"/>
      <c r="N19" s="1446"/>
      <c r="O19" s="1455">
        <f>+M19-N19</f>
        <v>0</v>
      </c>
      <c r="P19" s="1445"/>
      <c r="Q19" s="1446"/>
      <c r="R19" s="1455">
        <f>+P19-Q19</f>
        <v>0</v>
      </c>
    </row>
    <row r="20" spans="3:18" ht="18" customHeight="1" x14ac:dyDescent="0.15">
      <c r="C20" s="1454" t="s">
        <v>912</v>
      </c>
      <c r="D20" s="1445"/>
      <c r="E20" s="1446"/>
      <c r="F20" s="1455">
        <f>+D20-E20</f>
        <v>0</v>
      </c>
      <c r="G20" s="1445"/>
      <c r="H20" s="1446"/>
      <c r="I20" s="1455">
        <f>+G20-H20</f>
        <v>0</v>
      </c>
      <c r="J20" s="1445"/>
      <c r="K20" s="1446"/>
      <c r="L20" s="1455">
        <f>+J20-K20</f>
        <v>0</v>
      </c>
      <c r="M20" s="1445"/>
      <c r="N20" s="1446"/>
      <c r="O20" s="1455">
        <f>+M20-N20</f>
        <v>0</v>
      </c>
      <c r="P20" s="1445"/>
      <c r="Q20" s="1446"/>
      <c r="R20" s="1455">
        <f>+P20-Q20</f>
        <v>0</v>
      </c>
    </row>
    <row r="21" spans="3:18" ht="18" customHeight="1" x14ac:dyDescent="0.15">
      <c r="C21" s="1454" t="s">
        <v>913</v>
      </c>
      <c r="D21" s="1445"/>
      <c r="E21" s="1446"/>
      <c r="F21" s="1455">
        <f>+D21-E21</f>
        <v>0</v>
      </c>
      <c r="G21" s="1445"/>
      <c r="H21" s="1446"/>
      <c r="I21" s="1455">
        <f>+G21-H21</f>
        <v>0</v>
      </c>
      <c r="J21" s="1445"/>
      <c r="K21" s="1446"/>
      <c r="L21" s="1455">
        <f>+J21-K21</f>
        <v>0</v>
      </c>
      <c r="M21" s="1445"/>
      <c r="N21" s="1446"/>
      <c r="O21" s="1455">
        <f>+M21-N21</f>
        <v>0</v>
      </c>
      <c r="P21" s="1445"/>
      <c r="Q21" s="1446"/>
      <c r="R21" s="1455">
        <f>+P21-Q21</f>
        <v>0</v>
      </c>
    </row>
    <row r="22" spans="3:18" ht="18" customHeight="1" x14ac:dyDescent="0.15">
      <c r="C22" s="1454" t="s">
        <v>914</v>
      </c>
      <c r="D22" s="1445"/>
      <c r="E22" s="1446"/>
      <c r="F22" s="1455">
        <f>+D22-E22</f>
        <v>0</v>
      </c>
      <c r="G22" s="1445"/>
      <c r="H22" s="1446"/>
      <c r="I22" s="1455">
        <f>+G22-H22</f>
        <v>0</v>
      </c>
      <c r="J22" s="1445"/>
      <c r="K22" s="1446"/>
      <c r="L22" s="1455">
        <f>+J22-K22</f>
        <v>0</v>
      </c>
      <c r="M22" s="1445"/>
      <c r="N22" s="1446"/>
      <c r="O22" s="1455">
        <f>+M22-N22</f>
        <v>0</v>
      </c>
      <c r="P22" s="1445"/>
      <c r="Q22" s="1446"/>
      <c r="R22" s="1455">
        <f>+P22-Q22</f>
        <v>0</v>
      </c>
    </row>
    <row r="23" spans="3:18" ht="18" customHeight="1" x14ac:dyDescent="0.15">
      <c r="C23" s="1454" t="s">
        <v>915</v>
      </c>
      <c r="D23" s="1445"/>
      <c r="E23" s="1446"/>
      <c r="F23" s="1455">
        <f>+D23-E23</f>
        <v>0</v>
      </c>
      <c r="G23" s="1445"/>
      <c r="H23" s="1446"/>
      <c r="I23" s="1455">
        <f>+G23-H23</f>
        <v>0</v>
      </c>
      <c r="J23" s="1445"/>
      <c r="K23" s="1446"/>
      <c r="L23" s="1455">
        <f>+J23-K23</f>
        <v>0</v>
      </c>
      <c r="M23" s="1445"/>
      <c r="N23" s="1446"/>
      <c r="O23" s="1455">
        <f>+M23-N23</f>
        <v>0</v>
      </c>
      <c r="P23" s="1445"/>
      <c r="Q23" s="1446"/>
      <c r="R23" s="1455">
        <f>+P23-Q23</f>
        <v>0</v>
      </c>
    </row>
    <row r="24" spans="3:18" ht="18" customHeight="1" x14ac:dyDescent="0.15">
      <c r="C24" s="1460" t="s">
        <v>916</v>
      </c>
      <c r="D24" s="1461">
        <f t="shared" ref="D24:F24" si="12">+D9</f>
        <v>98524.756999999998</v>
      </c>
      <c r="E24" s="1462">
        <f t="shared" si="12"/>
        <v>38132.172999999995</v>
      </c>
      <c r="F24" s="1463">
        <f t="shared" si="12"/>
        <v>60392.584000000003</v>
      </c>
      <c r="G24" s="1461">
        <f t="shared" ref="G24:I24" si="13">+G9</f>
        <v>98524.756999999998</v>
      </c>
      <c r="H24" s="1462">
        <f t="shared" si="13"/>
        <v>38132.172999999995</v>
      </c>
      <c r="I24" s="1463">
        <f t="shared" si="13"/>
        <v>60392.584000000003</v>
      </c>
      <c r="J24" s="1461">
        <f t="shared" ref="J24:L24" si="14">+J9</f>
        <v>98524.756999999998</v>
      </c>
      <c r="K24" s="1462">
        <f t="shared" si="14"/>
        <v>38132.172999999995</v>
      </c>
      <c r="L24" s="1463">
        <f t="shared" si="14"/>
        <v>60392.584000000003</v>
      </c>
      <c r="M24" s="1461">
        <f t="shared" ref="M24:R24" si="15">+M9</f>
        <v>78788.03</v>
      </c>
      <c r="N24" s="1462">
        <f t="shared" si="15"/>
        <v>29078.164000000001</v>
      </c>
      <c r="O24" s="1463">
        <f t="shared" si="15"/>
        <v>49709.865999999995</v>
      </c>
      <c r="P24" s="1461">
        <f t="shared" si="15"/>
        <v>78788.03</v>
      </c>
      <c r="Q24" s="1462">
        <f t="shared" si="15"/>
        <v>29078.164000000001</v>
      </c>
      <c r="R24" s="1463">
        <f t="shared" si="15"/>
        <v>49709.865999999995</v>
      </c>
    </row>
    <row r="25" spans="3:18" ht="18" customHeight="1" x14ac:dyDescent="0.15">
      <c r="C25" s="1440" t="s">
        <v>917</v>
      </c>
      <c r="D25" s="1441">
        <f>+D26+D27+D32</f>
        <v>78787.274000000005</v>
      </c>
      <c r="E25" s="1442">
        <f t="shared" ref="E25:F25" si="16">+E26+E27+E32</f>
        <v>0</v>
      </c>
      <c r="F25" s="1443">
        <f t="shared" si="16"/>
        <v>78787.274000000005</v>
      </c>
      <c r="G25" s="1441">
        <f>+G26+G27+G32</f>
        <v>78787.274000000005</v>
      </c>
      <c r="H25" s="1442">
        <f t="shared" ref="H25:I25" si="17">+H26+H27+H32</f>
        <v>0</v>
      </c>
      <c r="I25" s="1443">
        <f t="shared" si="17"/>
        <v>78787.274000000005</v>
      </c>
      <c r="J25" s="1441">
        <f>+J26+J27+J32</f>
        <v>78787.274000000005</v>
      </c>
      <c r="K25" s="1442">
        <f t="shared" ref="K25:L25" si="18">+K26+K27+K32</f>
        <v>0</v>
      </c>
      <c r="L25" s="1443">
        <f t="shared" si="18"/>
        <v>78787.274000000005</v>
      </c>
      <c r="M25" s="1441">
        <f t="shared" ref="M25:R25" si="19">+M26+M27+M32</f>
        <v>37290.267</v>
      </c>
      <c r="N25" s="1442">
        <f t="shared" si="19"/>
        <v>0</v>
      </c>
      <c r="O25" s="1443">
        <f t="shared" si="19"/>
        <v>37290.267</v>
      </c>
      <c r="P25" s="1441">
        <f t="shared" si="19"/>
        <v>37290.267</v>
      </c>
      <c r="Q25" s="1442">
        <f t="shared" si="19"/>
        <v>0</v>
      </c>
      <c r="R25" s="1443">
        <f t="shared" si="19"/>
        <v>37290.267</v>
      </c>
    </row>
    <row r="26" spans="3:18" ht="18" customHeight="1" x14ac:dyDescent="0.15">
      <c r="C26" s="1444" t="s">
        <v>918</v>
      </c>
      <c r="D26" s="1448">
        <v>54424.256000000001</v>
      </c>
      <c r="E26" s="1459"/>
      <c r="F26" s="1447">
        <f>+D26-E26</f>
        <v>54424.256000000001</v>
      </c>
      <c r="G26" s="1448">
        <v>54424.256000000001</v>
      </c>
      <c r="H26" s="1459"/>
      <c r="I26" s="1447">
        <f>+G26-H26</f>
        <v>54424.256000000001</v>
      </c>
      <c r="J26" s="1448">
        <v>54424.256000000001</v>
      </c>
      <c r="K26" s="1459"/>
      <c r="L26" s="1447">
        <f>+J26-K26</f>
        <v>54424.256000000001</v>
      </c>
      <c r="M26" s="1448">
        <v>19958.439999999999</v>
      </c>
      <c r="N26" s="1459"/>
      <c r="O26" s="1447">
        <f>+M26-N26</f>
        <v>19958.439999999999</v>
      </c>
      <c r="P26" s="1448">
        <v>19958.439999999999</v>
      </c>
      <c r="Q26" s="1459"/>
      <c r="R26" s="1447">
        <f>+P26-Q26</f>
        <v>19958.439999999999</v>
      </c>
    </row>
    <row r="27" spans="3:18" ht="18" customHeight="1" x14ac:dyDescent="0.15">
      <c r="C27" s="1450" t="s">
        <v>919</v>
      </c>
      <c r="D27" s="1451">
        <f>+D28+D29+D30+D31</f>
        <v>24068.253000000001</v>
      </c>
      <c r="E27" s="1452">
        <f t="shared" ref="E27:F27" si="20">+E28+E29+E30+E31</f>
        <v>0</v>
      </c>
      <c r="F27" s="1453">
        <f t="shared" si="20"/>
        <v>24068.253000000001</v>
      </c>
      <c r="G27" s="1451">
        <f>+G28+G29+G30+G31</f>
        <v>24068.253000000001</v>
      </c>
      <c r="H27" s="1452">
        <f t="shared" ref="H27:I27" si="21">+H28+H29+H30+H31</f>
        <v>0</v>
      </c>
      <c r="I27" s="1453">
        <f t="shared" si="21"/>
        <v>24068.253000000001</v>
      </c>
      <c r="J27" s="1451">
        <f>+J28+J29+J30+J31</f>
        <v>24068.253000000001</v>
      </c>
      <c r="K27" s="1452">
        <f t="shared" ref="K27:L27" si="22">+K28+K29+K30+K31</f>
        <v>0</v>
      </c>
      <c r="L27" s="1453">
        <f t="shared" si="22"/>
        <v>24068.253000000001</v>
      </c>
      <c r="M27" s="1451">
        <f t="shared" ref="M27:R27" si="23">+M28+M29+M30+M31</f>
        <v>15195.673000000001</v>
      </c>
      <c r="N27" s="1452">
        <f t="shared" si="23"/>
        <v>0</v>
      </c>
      <c r="O27" s="1453">
        <f t="shared" si="23"/>
        <v>15195.673000000001</v>
      </c>
      <c r="P27" s="1451">
        <f t="shared" si="23"/>
        <v>15195.673000000001</v>
      </c>
      <c r="Q27" s="1452">
        <f t="shared" si="23"/>
        <v>0</v>
      </c>
      <c r="R27" s="1453">
        <f t="shared" si="23"/>
        <v>15195.673000000001</v>
      </c>
    </row>
    <row r="28" spans="3:18" ht="18" customHeight="1" x14ac:dyDescent="0.15">
      <c r="C28" s="1454" t="s">
        <v>920</v>
      </c>
      <c r="D28" s="1456">
        <v>4802.2920000000004</v>
      </c>
      <c r="E28" s="1446"/>
      <c r="F28" s="1455">
        <f>+D28-E28</f>
        <v>4802.2920000000004</v>
      </c>
      <c r="G28" s="1456">
        <v>4802.2920000000004</v>
      </c>
      <c r="H28" s="1446"/>
      <c r="I28" s="1455">
        <f>+G28-H28</f>
        <v>4802.2920000000004</v>
      </c>
      <c r="J28" s="1456">
        <v>4802.2920000000004</v>
      </c>
      <c r="K28" s="1446"/>
      <c r="L28" s="1455">
        <f>+J28-K28</f>
        <v>4802.2920000000004</v>
      </c>
      <c r="M28" s="1456">
        <v>3495.623</v>
      </c>
      <c r="N28" s="1446"/>
      <c r="O28" s="1455">
        <f>+M28-N28</f>
        <v>3495.623</v>
      </c>
      <c r="P28" s="1456">
        <v>3495.623</v>
      </c>
      <c r="Q28" s="1446"/>
      <c r="R28" s="1455">
        <f>+P28-Q28</f>
        <v>3495.623</v>
      </c>
    </row>
    <row r="29" spans="3:18" ht="18" customHeight="1" x14ac:dyDescent="0.15">
      <c r="C29" s="1454" t="s">
        <v>921</v>
      </c>
      <c r="D29" s="1456">
        <v>3943.0050000000001</v>
      </c>
      <c r="E29" s="1446"/>
      <c r="F29" s="1455">
        <f>+D29-E29</f>
        <v>3943.0050000000001</v>
      </c>
      <c r="G29" s="1456">
        <v>3943.0050000000001</v>
      </c>
      <c r="H29" s="1446"/>
      <c r="I29" s="1455">
        <f>+G29-H29</f>
        <v>3943.0050000000001</v>
      </c>
      <c r="J29" s="1456">
        <v>3943.0050000000001</v>
      </c>
      <c r="K29" s="1446"/>
      <c r="L29" s="1455">
        <f>+J29-K29</f>
        <v>3943.0050000000001</v>
      </c>
      <c r="M29" s="1456">
        <v>323.69900000000001</v>
      </c>
      <c r="N29" s="1446"/>
      <c r="O29" s="1455">
        <f>+M29-N29</f>
        <v>323.69900000000001</v>
      </c>
      <c r="P29" s="1456">
        <v>323.69900000000001</v>
      </c>
      <c r="Q29" s="1446"/>
      <c r="R29" s="1455">
        <f>+P29-Q29</f>
        <v>323.69900000000001</v>
      </c>
    </row>
    <row r="30" spans="3:18" ht="18" customHeight="1" x14ac:dyDescent="0.15">
      <c r="C30" s="1454" t="s">
        <v>922</v>
      </c>
      <c r="D30" s="1456">
        <v>15322.956</v>
      </c>
      <c r="E30" s="1446"/>
      <c r="F30" s="1455">
        <f>+D30-E30</f>
        <v>15322.956</v>
      </c>
      <c r="G30" s="1456">
        <v>15322.956</v>
      </c>
      <c r="H30" s="1446"/>
      <c r="I30" s="1455">
        <f>+G30-H30</f>
        <v>15322.956</v>
      </c>
      <c r="J30" s="1456">
        <v>15322.956</v>
      </c>
      <c r="K30" s="1446"/>
      <c r="L30" s="1455">
        <f>+J30-K30</f>
        <v>15322.956</v>
      </c>
      <c r="M30" s="1456">
        <v>11376.351000000001</v>
      </c>
      <c r="N30" s="1446"/>
      <c r="O30" s="1455">
        <f>+M30-N30</f>
        <v>11376.351000000001</v>
      </c>
      <c r="P30" s="1456">
        <v>11376.351000000001</v>
      </c>
      <c r="Q30" s="1446"/>
      <c r="R30" s="1455">
        <f>+P30-Q30</f>
        <v>11376.351000000001</v>
      </c>
    </row>
    <row r="31" spans="3:18" ht="18" customHeight="1" x14ac:dyDescent="0.15">
      <c r="C31" s="1454" t="s">
        <v>923</v>
      </c>
      <c r="D31" s="1445"/>
      <c r="E31" s="1446"/>
      <c r="F31" s="1455">
        <f>+D31-E31</f>
        <v>0</v>
      </c>
      <c r="G31" s="1445"/>
      <c r="H31" s="1446"/>
      <c r="I31" s="1455">
        <f>+G31-H31</f>
        <v>0</v>
      </c>
      <c r="J31" s="1445"/>
      <c r="K31" s="1446"/>
      <c r="L31" s="1455">
        <f>+J31-K31</f>
        <v>0</v>
      </c>
      <c r="M31" s="1445"/>
      <c r="N31" s="1446"/>
      <c r="O31" s="1455">
        <f>+M31-N31</f>
        <v>0</v>
      </c>
      <c r="P31" s="1445"/>
      <c r="Q31" s="1446"/>
      <c r="R31" s="1455">
        <f>+P31-Q31</f>
        <v>0</v>
      </c>
    </row>
    <row r="32" spans="3:18" ht="18" customHeight="1" x14ac:dyDescent="0.15">
      <c r="C32" s="1450" t="s">
        <v>924</v>
      </c>
      <c r="D32" s="1451">
        <f t="shared" ref="D32:F32" si="24">+D33+D34</f>
        <v>294.76499999999999</v>
      </c>
      <c r="E32" s="1452">
        <f t="shared" si="24"/>
        <v>0</v>
      </c>
      <c r="F32" s="1453">
        <f t="shared" si="24"/>
        <v>294.76499999999999</v>
      </c>
      <c r="G32" s="1451">
        <f t="shared" ref="G32:I32" si="25">+G33+G34</f>
        <v>294.76499999999999</v>
      </c>
      <c r="H32" s="1452">
        <f t="shared" si="25"/>
        <v>0</v>
      </c>
      <c r="I32" s="1453">
        <f t="shared" si="25"/>
        <v>294.76499999999999</v>
      </c>
      <c r="J32" s="1451">
        <f t="shared" ref="J32:L32" si="26">+J33+J34</f>
        <v>294.76499999999999</v>
      </c>
      <c r="K32" s="1452">
        <f t="shared" si="26"/>
        <v>0</v>
      </c>
      <c r="L32" s="1453">
        <f t="shared" si="26"/>
        <v>294.76499999999999</v>
      </c>
      <c r="M32" s="1451">
        <f t="shared" ref="M32:R32" si="27">+M33+M34</f>
        <v>2136.154</v>
      </c>
      <c r="N32" s="1452">
        <f t="shared" si="27"/>
        <v>0</v>
      </c>
      <c r="O32" s="1453">
        <f t="shared" si="27"/>
        <v>2136.154</v>
      </c>
      <c r="P32" s="1451">
        <f t="shared" si="27"/>
        <v>2136.154</v>
      </c>
      <c r="Q32" s="1452">
        <f t="shared" si="27"/>
        <v>0</v>
      </c>
      <c r="R32" s="1453">
        <f t="shared" si="27"/>
        <v>2136.154</v>
      </c>
    </row>
    <row r="33" spans="3:18" ht="18" customHeight="1" x14ac:dyDescent="0.15">
      <c r="C33" s="1454" t="s">
        <v>925</v>
      </c>
      <c r="D33" s="1445"/>
      <c r="E33" s="1446"/>
      <c r="F33" s="1455">
        <f>+D33-E33</f>
        <v>0</v>
      </c>
      <c r="G33" s="1445"/>
      <c r="H33" s="1446"/>
      <c r="I33" s="1455">
        <f>+G33-H33</f>
        <v>0</v>
      </c>
      <c r="J33" s="1445"/>
      <c r="K33" s="1446"/>
      <c r="L33" s="1455">
        <f>+J33-K33</f>
        <v>0</v>
      </c>
      <c r="M33" s="1445"/>
      <c r="N33" s="1446"/>
      <c r="O33" s="1455">
        <f>+M33-N33</f>
        <v>0</v>
      </c>
      <c r="P33" s="1445"/>
      <c r="Q33" s="1446"/>
      <c r="R33" s="1455">
        <f>+P33-Q33</f>
        <v>0</v>
      </c>
    </row>
    <row r="34" spans="3:18" ht="18" customHeight="1" x14ac:dyDescent="0.15">
      <c r="C34" s="1454" t="s">
        <v>926</v>
      </c>
      <c r="D34" s="1456">
        <v>294.76499999999999</v>
      </c>
      <c r="E34" s="1446"/>
      <c r="F34" s="1455">
        <f>+D34-E34</f>
        <v>294.76499999999999</v>
      </c>
      <c r="G34" s="1456">
        <v>294.76499999999999</v>
      </c>
      <c r="H34" s="1446"/>
      <c r="I34" s="1455">
        <f>+G34-H34</f>
        <v>294.76499999999999</v>
      </c>
      <c r="J34" s="1456">
        <v>294.76499999999999</v>
      </c>
      <c r="K34" s="1446"/>
      <c r="L34" s="1455">
        <f>+J34-K34</f>
        <v>294.76499999999999</v>
      </c>
      <c r="M34" s="1456">
        <v>2136.154</v>
      </c>
      <c r="N34" s="1446"/>
      <c r="O34" s="1455">
        <f>+M34-N34</f>
        <v>2136.154</v>
      </c>
      <c r="P34" s="1456">
        <v>2136.154</v>
      </c>
      <c r="Q34" s="1446"/>
      <c r="R34" s="1455">
        <f>+P34-Q34</f>
        <v>2136.154</v>
      </c>
    </row>
    <row r="35" spans="3:18" ht="18" customHeight="1" x14ac:dyDescent="0.15">
      <c r="C35" s="1460" t="s">
        <v>927</v>
      </c>
      <c r="D35" s="1464">
        <f t="shared" ref="D35:F35" si="28">+D25</f>
        <v>78787.274000000005</v>
      </c>
      <c r="E35" s="1462">
        <f t="shared" si="28"/>
        <v>0</v>
      </c>
      <c r="F35" s="1465">
        <f t="shared" si="28"/>
        <v>78787.274000000005</v>
      </c>
      <c r="G35" s="1464">
        <f t="shared" ref="G35:I35" si="29">+G25</f>
        <v>78787.274000000005</v>
      </c>
      <c r="H35" s="1462">
        <f t="shared" si="29"/>
        <v>0</v>
      </c>
      <c r="I35" s="1465">
        <f t="shared" si="29"/>
        <v>78787.274000000005</v>
      </c>
      <c r="J35" s="1464">
        <f t="shared" ref="J35:L35" si="30">+J25</f>
        <v>78787.274000000005</v>
      </c>
      <c r="K35" s="1462">
        <f t="shared" si="30"/>
        <v>0</v>
      </c>
      <c r="L35" s="1465">
        <f t="shared" si="30"/>
        <v>78787.274000000005</v>
      </c>
      <c r="M35" s="1464">
        <f t="shared" ref="M35:R35" si="31">+M25</f>
        <v>37290.267</v>
      </c>
      <c r="N35" s="1462">
        <f t="shared" si="31"/>
        <v>0</v>
      </c>
      <c r="O35" s="1465">
        <f t="shared" si="31"/>
        <v>37290.267</v>
      </c>
      <c r="P35" s="1464">
        <f t="shared" si="31"/>
        <v>37290.267</v>
      </c>
      <c r="Q35" s="1462">
        <f t="shared" si="31"/>
        <v>0</v>
      </c>
      <c r="R35" s="1465">
        <f t="shared" si="31"/>
        <v>37290.267</v>
      </c>
    </row>
    <row r="36" spans="3:18" ht="18" customHeight="1" x14ac:dyDescent="0.15">
      <c r="C36" s="1460" t="s">
        <v>928</v>
      </c>
      <c r="D36" s="1464">
        <f>+D35+D24</f>
        <v>177312.03100000002</v>
      </c>
      <c r="E36" s="1462">
        <f t="shared" ref="E36:F36" si="32">+E35+E24</f>
        <v>38132.172999999995</v>
      </c>
      <c r="F36" s="1465">
        <f t="shared" si="32"/>
        <v>139179.85800000001</v>
      </c>
      <c r="G36" s="1464">
        <f>+G35+G24</f>
        <v>177312.03100000002</v>
      </c>
      <c r="H36" s="1462">
        <f t="shared" ref="H36:I36" si="33">+H35+H24</f>
        <v>38132.172999999995</v>
      </c>
      <c r="I36" s="1465">
        <f t="shared" si="33"/>
        <v>139179.85800000001</v>
      </c>
      <c r="J36" s="1464">
        <f>+J35+J24</f>
        <v>177312.03100000002</v>
      </c>
      <c r="K36" s="1462">
        <f t="shared" ref="K36:L36" si="34">+K35+K24</f>
        <v>38132.172999999995</v>
      </c>
      <c r="L36" s="1465">
        <f t="shared" si="34"/>
        <v>139179.85800000001</v>
      </c>
      <c r="M36" s="1464">
        <f t="shared" ref="M36:R36" si="35">+M35+M24</f>
        <v>116078.29699999999</v>
      </c>
      <c r="N36" s="1462">
        <f t="shared" si="35"/>
        <v>29078.164000000001</v>
      </c>
      <c r="O36" s="1465">
        <f t="shared" si="35"/>
        <v>87000.133000000002</v>
      </c>
      <c r="P36" s="1464">
        <f t="shared" si="35"/>
        <v>116078.29699999999</v>
      </c>
      <c r="Q36" s="1462">
        <f t="shared" si="35"/>
        <v>29078.164000000001</v>
      </c>
      <c r="R36" s="1465">
        <f t="shared" si="35"/>
        <v>87000.133000000002</v>
      </c>
    </row>
  </sheetData>
  <sheetProtection selectLockedCells="1"/>
  <mergeCells count="21">
    <mergeCell ref="P4:R4"/>
    <mergeCell ref="P5:R5"/>
    <mergeCell ref="P6:R6"/>
    <mergeCell ref="P7:R7"/>
    <mergeCell ref="G4:I4"/>
    <mergeCell ref="G5:I5"/>
    <mergeCell ref="G6:I6"/>
    <mergeCell ref="C4:C8"/>
    <mergeCell ref="J4:L4"/>
    <mergeCell ref="M4:O4"/>
    <mergeCell ref="J5:L5"/>
    <mergeCell ref="M5:O5"/>
    <mergeCell ref="J6:L6"/>
    <mergeCell ref="M6:O6"/>
    <mergeCell ref="G7:I7"/>
    <mergeCell ref="J7:L7"/>
    <mergeCell ref="M7:O7"/>
    <mergeCell ref="D4:F4"/>
    <mergeCell ref="D5:F5"/>
    <mergeCell ref="D6:F6"/>
    <mergeCell ref="D7:F7"/>
  </mergeCells>
  <dataValidations disablePrompts="1" count="3">
    <dataValidation type="list" allowBlank="1" showInputMessage="1" showErrorMessage="1" sqref="M7:O7" xr:uid="{E8477153-1C0F-8842-A442-43CB9650DB19}">
      <formula1>$R$11</formula1>
    </dataValidation>
    <dataValidation type="list" allowBlank="1" showInputMessage="1" showErrorMessage="1" sqref="D7:L7 P7:R7" xr:uid="{249FA3F1-4BD0-F045-986D-5F58C281EF76}">
      <formula1>$R$10</formula1>
    </dataValidation>
    <dataValidation type="list" allowBlank="1" showInputMessage="1" showErrorMessage="1" sqref="D5:R5" xr:uid="{8B52823E-02B0-3649-AC94-5F1BB095F434}">
      <formula1>$R$7</formula1>
    </dataValidation>
  </dataValidations>
  <pageMargins left="0.78740157499999996" right="0.78740157499999996" top="0.984251969" bottom="0.984251969" header="0.4921259845" footer="0.4921259845"/>
  <pageSetup paperSize="9" scale="58"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87C1-0EE5-524B-91D2-D7C2542EABB0}">
  <sheetPr>
    <tabColor rgb="FF00915A"/>
  </sheetPr>
  <dimension ref="C1:R42"/>
  <sheetViews>
    <sheetView showGridLines="0" topLeftCell="B1" zoomScaleNormal="100" zoomScaleSheetLayoutView="100" workbookViewId="0">
      <selection activeCell="K21" sqref="K21"/>
    </sheetView>
  </sheetViews>
  <sheetFormatPr baseColWidth="10" defaultColWidth="10.5" defaultRowHeight="21" customHeight="1" x14ac:dyDescent="0.15"/>
  <cols>
    <col min="1" max="2" width="4.33203125" style="1408" customWidth="1"/>
    <col min="3" max="3" width="58" style="1408" customWidth="1"/>
    <col min="4" max="5" width="18" style="1408" customWidth="1"/>
    <col min="6" max="6" width="18" style="1409" customWidth="1"/>
    <col min="7" max="8" width="18" style="1408" customWidth="1"/>
    <col min="9" max="9" width="4.33203125" style="1408" customWidth="1"/>
    <col min="10" max="14" width="10.5" style="1408" customWidth="1"/>
    <col min="15" max="16384" width="10.5" style="1408"/>
  </cols>
  <sheetData>
    <row r="1" spans="3:18" ht="18" customHeight="1" x14ac:dyDescent="0.15">
      <c r="C1" s="1435" t="s">
        <v>1016</v>
      </c>
      <c r="D1" s="1466"/>
      <c r="E1" s="1409"/>
      <c r="G1" s="1409"/>
      <c r="H1" s="1409"/>
      <c r="I1" s="1409"/>
      <c r="J1" s="1409"/>
      <c r="K1" s="1409"/>
      <c r="L1" s="1409"/>
      <c r="M1" s="1409"/>
      <c r="N1" s="1409"/>
      <c r="O1" s="1409"/>
      <c r="P1" s="1409"/>
      <c r="Q1" s="1409"/>
      <c r="R1" s="1409"/>
    </row>
    <row r="2" spans="3:18" ht="18" customHeight="1" x14ac:dyDescent="0.15">
      <c r="C2" s="1435" t="s">
        <v>1017</v>
      </c>
      <c r="D2" s="1466"/>
      <c r="E2" s="1409"/>
      <c r="G2" s="1409"/>
      <c r="H2" s="1409"/>
      <c r="I2" s="1409"/>
      <c r="J2" s="1409"/>
      <c r="K2" s="1409"/>
      <c r="L2" s="1409"/>
      <c r="M2" s="1409"/>
      <c r="N2" s="1409"/>
      <c r="O2" s="1409"/>
      <c r="P2" s="1409"/>
      <c r="Q2" s="1409"/>
      <c r="R2" s="1409"/>
    </row>
    <row r="3" spans="3:18" ht="18" customHeight="1" x14ac:dyDescent="0.15">
      <c r="C3" s="1435" t="s">
        <v>1018</v>
      </c>
      <c r="D3" s="1466"/>
      <c r="E3" s="1409"/>
      <c r="G3" s="1409"/>
      <c r="H3" s="1409"/>
      <c r="I3" s="1409"/>
      <c r="J3" s="1409"/>
      <c r="K3" s="1409"/>
      <c r="L3" s="1409"/>
      <c r="M3" s="1409"/>
      <c r="N3" s="1409"/>
      <c r="O3" s="1409"/>
      <c r="P3" s="1409"/>
      <c r="Q3" s="1409"/>
      <c r="R3" s="1409"/>
    </row>
    <row r="4" spans="3:18" ht="24" customHeight="1" x14ac:dyDescent="0.15">
      <c r="C4" s="1467" t="s">
        <v>121</v>
      </c>
      <c r="D4" s="1468" t="s">
        <v>1015</v>
      </c>
      <c r="E4" s="1468" t="s">
        <v>1014</v>
      </c>
      <c r="F4" s="1469" t="s">
        <v>896</v>
      </c>
      <c r="G4" s="1468" t="s">
        <v>1013</v>
      </c>
      <c r="H4" s="1468" t="s">
        <v>1012</v>
      </c>
    </row>
    <row r="5" spans="3:18" ht="18" customHeight="1" x14ac:dyDescent="0.15">
      <c r="C5" s="1470" t="s">
        <v>929</v>
      </c>
      <c r="D5" s="1471">
        <f>D6-D7+SUM(D8:D12)</f>
        <v>77953.808000000005</v>
      </c>
      <c r="E5" s="1471">
        <f>E6-E7+SUM(E8:E12)</f>
        <v>77953.808000000005</v>
      </c>
      <c r="F5" s="1472">
        <f>F6-F7+SUM(F8:F12)</f>
        <v>0</v>
      </c>
      <c r="G5" s="1471">
        <f>G6-G7+SUM(G8:G12)</f>
        <v>77953.808000000005</v>
      </c>
      <c r="H5" s="1471">
        <f>H6-H7+SUM(H8:H12)</f>
        <v>64767.33</v>
      </c>
    </row>
    <row r="6" spans="3:18" ht="18" customHeight="1" x14ac:dyDescent="0.15">
      <c r="C6" s="1473" t="s">
        <v>930</v>
      </c>
      <c r="D6" s="1474">
        <v>62541.411</v>
      </c>
      <c r="E6" s="1474">
        <v>62541.411</v>
      </c>
      <c r="F6" s="1475"/>
      <c r="G6" s="1474">
        <v>62541.411</v>
      </c>
      <c r="H6" s="1474">
        <v>50465</v>
      </c>
    </row>
    <row r="7" spans="3:18" ht="18" customHeight="1" x14ac:dyDescent="0.15">
      <c r="C7" s="1473" t="s">
        <v>931</v>
      </c>
      <c r="D7" s="1476"/>
      <c r="E7" s="1476"/>
      <c r="F7" s="1475"/>
      <c r="G7" s="1476"/>
      <c r="H7" s="1476"/>
    </row>
    <row r="8" spans="3:18" ht="18" customHeight="1" x14ac:dyDescent="0.15">
      <c r="C8" s="1473" t="s">
        <v>932</v>
      </c>
      <c r="D8" s="1476"/>
      <c r="E8" s="1476"/>
      <c r="F8" s="1475"/>
      <c r="G8" s="1476"/>
      <c r="H8" s="1476"/>
    </row>
    <row r="9" spans="3:18" ht="18" customHeight="1" x14ac:dyDescent="0.15">
      <c r="C9" s="1473" t="s">
        <v>933</v>
      </c>
      <c r="D9" s="1476"/>
      <c r="E9" s="1476"/>
      <c r="F9" s="1475"/>
      <c r="G9" s="1476"/>
      <c r="H9" s="1476"/>
    </row>
    <row r="10" spans="3:18" ht="18" customHeight="1" x14ac:dyDescent="0.15">
      <c r="C10" s="1473" t="s">
        <v>934</v>
      </c>
      <c r="D10" s="1476"/>
      <c r="E10" s="1476"/>
      <c r="F10" s="1475"/>
      <c r="G10" s="1476"/>
      <c r="H10" s="1476"/>
    </row>
    <row r="11" spans="3:18" ht="18" customHeight="1" x14ac:dyDescent="0.15">
      <c r="C11" s="1473" t="s">
        <v>935</v>
      </c>
      <c r="D11" s="1474">
        <v>15412.397000000001</v>
      </c>
      <c r="E11" s="1474">
        <v>15412.397000000001</v>
      </c>
      <c r="F11" s="1475"/>
      <c r="G11" s="1474">
        <v>15412.397000000001</v>
      </c>
      <c r="H11" s="1474">
        <v>14302.33</v>
      </c>
    </row>
    <row r="12" spans="3:18" ht="18" customHeight="1" x14ac:dyDescent="0.15">
      <c r="C12" s="1473" t="s">
        <v>936</v>
      </c>
      <c r="D12" s="1476"/>
      <c r="E12" s="1476"/>
      <c r="F12" s="1475"/>
      <c r="G12" s="1476"/>
      <c r="H12" s="1476"/>
    </row>
    <row r="13" spans="3:18" ht="18" customHeight="1" x14ac:dyDescent="0.15">
      <c r="C13" s="1477" t="s">
        <v>937</v>
      </c>
      <c r="D13" s="1476"/>
      <c r="E13" s="1476"/>
      <c r="F13" s="1475"/>
      <c r="G13" s="1476"/>
      <c r="H13" s="1476"/>
    </row>
    <row r="14" spans="3:18" ht="18" customHeight="1" x14ac:dyDescent="0.15">
      <c r="C14" s="1477" t="s">
        <v>938</v>
      </c>
      <c r="D14" s="1476"/>
      <c r="E14" s="1476"/>
      <c r="F14" s="1475"/>
      <c r="G14" s="1476"/>
      <c r="H14" s="1476"/>
    </row>
    <row r="15" spans="3:18" ht="18" customHeight="1" x14ac:dyDescent="0.15">
      <c r="C15" s="1460" t="s">
        <v>939</v>
      </c>
      <c r="D15" s="1478">
        <f>+D5</f>
        <v>77953.808000000005</v>
      </c>
      <c r="E15" s="1478">
        <f>+E5</f>
        <v>77953.808000000005</v>
      </c>
      <c r="F15" s="1479">
        <f>+F5</f>
        <v>0</v>
      </c>
      <c r="G15" s="1478">
        <f>+G5</f>
        <v>77953.808000000005</v>
      </c>
      <c r="H15" s="1478">
        <f>+H5</f>
        <v>64767.33</v>
      </c>
    </row>
    <row r="16" spans="3:18" ht="18" customHeight="1" x14ac:dyDescent="0.15">
      <c r="C16" s="1470" t="s">
        <v>940</v>
      </c>
      <c r="D16" s="1471">
        <f>SUM(D17:D20)</f>
        <v>962.64700000000005</v>
      </c>
      <c r="E16" s="1471">
        <f>SUM(E17:E20)</f>
        <v>962.64700000000005</v>
      </c>
      <c r="F16" s="1472">
        <f>SUM(F17:F20)</f>
        <v>0</v>
      </c>
      <c r="G16" s="1471">
        <f>SUM(G17:G20)</f>
        <v>962.64700000000005</v>
      </c>
      <c r="H16" s="1471">
        <f>SUM(H17:H20)</f>
        <v>4689.4170000000004</v>
      </c>
    </row>
    <row r="17" spans="3:8" ht="18" customHeight="1" x14ac:dyDescent="0.15">
      <c r="C17" s="1473" t="s">
        <v>941</v>
      </c>
      <c r="D17" s="1476"/>
      <c r="E17" s="1476"/>
      <c r="F17" s="1475"/>
      <c r="G17" s="1476"/>
      <c r="H17" s="1476"/>
    </row>
    <row r="18" spans="3:8" ht="18" customHeight="1" x14ac:dyDescent="0.15">
      <c r="C18" s="1473" t="s">
        <v>942</v>
      </c>
      <c r="D18" s="1474">
        <v>962.64700000000005</v>
      </c>
      <c r="E18" s="1474">
        <v>962.64700000000005</v>
      </c>
      <c r="F18" s="1475"/>
      <c r="G18" s="1474">
        <v>962.64700000000005</v>
      </c>
      <c r="H18" s="1474">
        <v>4689.4170000000004</v>
      </c>
    </row>
    <row r="19" spans="3:8" ht="18" customHeight="1" x14ac:dyDescent="0.15">
      <c r="C19" s="1473" t="s">
        <v>943</v>
      </c>
      <c r="D19" s="1476"/>
      <c r="E19" s="1476"/>
      <c r="F19" s="1475"/>
      <c r="G19" s="1476"/>
      <c r="H19" s="1476"/>
    </row>
    <row r="20" spans="3:8" ht="18" customHeight="1" x14ac:dyDescent="0.15">
      <c r="C20" s="1473" t="s">
        <v>944</v>
      </c>
      <c r="D20" s="1476"/>
      <c r="E20" s="1476"/>
      <c r="F20" s="1475"/>
      <c r="G20" s="1476"/>
      <c r="H20" s="1476"/>
    </row>
    <row r="21" spans="3:8" ht="18" customHeight="1" x14ac:dyDescent="0.15">
      <c r="C21" s="1460" t="s">
        <v>945</v>
      </c>
      <c r="D21" s="1478">
        <f>+D16</f>
        <v>962.64700000000005</v>
      </c>
      <c r="E21" s="1478">
        <f>+E16</f>
        <v>962.64700000000005</v>
      </c>
      <c r="F21" s="1479">
        <f>+F16</f>
        <v>0</v>
      </c>
      <c r="G21" s="1478">
        <f>+G16</f>
        <v>962.64700000000005</v>
      </c>
      <c r="H21" s="1478">
        <f>+H16</f>
        <v>4689.4170000000004</v>
      </c>
    </row>
    <row r="22" spans="3:8" ht="18" customHeight="1" x14ac:dyDescent="0.15">
      <c r="C22" s="1470" t="s">
        <v>946</v>
      </c>
      <c r="D22" s="1471">
        <f>SUM(D23:D26)</f>
        <v>60263.305999999997</v>
      </c>
      <c r="E22" s="1471">
        <f>SUM(E23:E26)</f>
        <v>60263.305999999997</v>
      </c>
      <c r="F22" s="1472">
        <f>SUM(F23:F26)</f>
        <v>0</v>
      </c>
      <c r="G22" s="1471">
        <f>SUM(G23:G26)</f>
        <v>60263.305999999997</v>
      </c>
      <c r="H22" s="1471">
        <f>SUM(H23:H26)</f>
        <v>17543.425999999999</v>
      </c>
    </row>
    <row r="23" spans="3:8" ht="18" customHeight="1" x14ac:dyDescent="0.15">
      <c r="C23" s="1473" t="s">
        <v>809</v>
      </c>
      <c r="D23" s="1474">
        <v>36959.868999999999</v>
      </c>
      <c r="E23" s="1474">
        <v>36959.868999999999</v>
      </c>
      <c r="F23" s="1475"/>
      <c r="G23" s="1474">
        <v>36959.868999999999</v>
      </c>
      <c r="H23" s="1474">
        <v>9867.1939999999995</v>
      </c>
    </row>
    <row r="24" spans="3:8" ht="18" customHeight="1" x14ac:dyDescent="0.15">
      <c r="C24" s="1473" t="s">
        <v>947</v>
      </c>
      <c r="D24" s="1474">
        <v>4353.5569999999998</v>
      </c>
      <c r="E24" s="1474">
        <v>4353.5569999999998</v>
      </c>
      <c r="F24" s="1475"/>
      <c r="G24" s="1474">
        <v>4353.5569999999998</v>
      </c>
      <c r="H24" s="1474">
        <v>2930.9949999999999</v>
      </c>
    </row>
    <row r="25" spans="3:8" ht="18" customHeight="1" x14ac:dyDescent="0.15">
      <c r="C25" s="1480" t="s">
        <v>810</v>
      </c>
      <c r="D25" s="1481">
        <f>11597.945</f>
        <v>11597.945</v>
      </c>
      <c r="E25" s="1481">
        <f>11597.945</f>
        <v>11597.945</v>
      </c>
      <c r="F25" s="1482"/>
      <c r="G25" s="1481">
        <f>11597.945</f>
        <v>11597.945</v>
      </c>
      <c r="H25" s="1481">
        <f>646.477+0.2</f>
        <v>646.67700000000002</v>
      </c>
    </row>
    <row r="26" spans="3:8" ht="18" customHeight="1" x14ac:dyDescent="0.15">
      <c r="C26" s="1473" t="s">
        <v>948</v>
      </c>
      <c r="D26" s="1474">
        <v>7351.9350000000004</v>
      </c>
      <c r="E26" s="1474">
        <v>7351.9350000000004</v>
      </c>
      <c r="F26" s="1475"/>
      <c r="G26" s="1474">
        <v>7351.9350000000004</v>
      </c>
      <c r="H26" s="1474">
        <v>4098.5600000000004</v>
      </c>
    </row>
    <row r="27" spans="3:8" ht="18" customHeight="1" x14ac:dyDescent="0.15">
      <c r="C27" s="1460" t="s">
        <v>949</v>
      </c>
      <c r="D27" s="1478">
        <f>+D22</f>
        <v>60263.305999999997</v>
      </c>
      <c r="E27" s="1478">
        <f>+E22</f>
        <v>60263.305999999997</v>
      </c>
      <c r="F27" s="1479">
        <f>+F22</f>
        <v>0</v>
      </c>
      <c r="G27" s="1478">
        <f>+G22</f>
        <v>60263.305999999997</v>
      </c>
      <c r="H27" s="1478">
        <f>+H22</f>
        <v>17543.425999999999</v>
      </c>
    </row>
    <row r="28" spans="3:8" ht="18" customHeight="1" x14ac:dyDescent="0.15">
      <c r="C28" s="1460" t="s">
        <v>950</v>
      </c>
      <c r="D28" s="1478">
        <f>+D27+D21+D15</f>
        <v>139179.761</v>
      </c>
      <c r="E28" s="1478">
        <f>+E27+E21+E15</f>
        <v>139179.761</v>
      </c>
      <c r="F28" s="1479">
        <f>+F27+F21+F15</f>
        <v>0</v>
      </c>
      <c r="G28" s="1478">
        <f>+G27+G21+G15</f>
        <v>139179.761</v>
      </c>
      <c r="H28" s="1478">
        <f>+H27+H21+H15</f>
        <v>87000.17300000001</v>
      </c>
    </row>
    <row r="29" spans="3:8" ht="21" customHeight="1" x14ac:dyDescent="0.15">
      <c r="D29" s="1411" t="str">
        <f>IF(OR(D28-'[1]Saisie actif'!F34&lt;=-0.1,D28-'[1]Saisie actif'!F34&gt;=0.1),"ERREUR (Actif ≠ Passif)","OK (Actif = Passif)")</f>
        <v>OK (Actif = Passif)</v>
      </c>
      <c r="E29" s="1411" t="str">
        <f>IF(OR(E28-'[1]Saisie actif'!P34&lt;=-0.1,E28-'[1]Saisie actif'!P34&gt;=0.1),"ERREUR (Actif ≠ Passif)","OK (Actif = Passif)")</f>
        <v>ERREUR (Actif ≠ Passif)</v>
      </c>
      <c r="F29" s="1410"/>
      <c r="G29" s="1411" t="str">
        <f>IF(OR(G28-'[1]Saisie actif'!R34&lt;=-0.1,G28-'[1]Saisie actif'!R34&gt;=0.1),"ERREUR (Actif ≠ Passif)","OK (Actif = Passif)")</f>
        <v>ERREUR (Actif ≠ Passif)</v>
      </c>
      <c r="H29" s="1411" t="str">
        <f>IF(OR(H28-'[1]Saisie actif'!U34&lt;=-0.1,H28-'[1]Saisie actif'!U34&gt;=0.1),"ERREUR (Actif ≠ Passif)","OK (Actif = Passif)")</f>
        <v>ERREUR (Actif ≠ Passif)</v>
      </c>
    </row>
    <row r="30" spans="3:8" ht="21" customHeight="1" x14ac:dyDescent="0.15">
      <c r="D30" s="1412" t="str">
        <f>IF(D29="ERREUR (Actif ≠ Passif)",-D28+'[1]Saisie actif'!F34,"")</f>
        <v/>
      </c>
      <c r="E30" s="1412">
        <f>IF(E29="ERREUR (Actif ≠ Passif)",-E28+'[1]Saisie actif'!P34,"")</f>
        <v>-23101.464000000007</v>
      </c>
      <c r="F30" s="1410"/>
      <c r="G30" s="1412">
        <f>IF(G29="ERREUR (Actif ≠ Passif)",-G28+'[1]Saisie actif'!R34,"")</f>
        <v>-52179.627999999997</v>
      </c>
      <c r="H30" s="1412">
        <f>IF(H29="ERREUR (Actif ≠ Passif)",-H28+'[1]Saisie actif'!U34,"")</f>
        <v>-87000.17300000001</v>
      </c>
    </row>
    <row r="31" spans="3:8" ht="18.75" customHeight="1" x14ac:dyDescent="0.15">
      <c r="C31" s="1413" t="s">
        <v>951</v>
      </c>
      <c r="F31" s="1410"/>
    </row>
    <row r="32" spans="3:8" ht="21" customHeight="1" x14ac:dyDescent="0.15">
      <c r="C32" s="1413"/>
      <c r="D32" s="1413"/>
      <c r="E32" s="1413"/>
      <c r="F32" s="1410"/>
      <c r="G32" s="1413"/>
      <c r="H32" s="1413"/>
    </row>
    <row r="33" spans="3:8" ht="21" customHeight="1" x14ac:dyDescent="0.15">
      <c r="C33" s="1413"/>
      <c r="D33" s="1413"/>
      <c r="E33" s="1413"/>
      <c r="F33" s="1410"/>
      <c r="G33" s="1413"/>
      <c r="H33" s="1413"/>
    </row>
    <row r="34" spans="3:8" ht="21" customHeight="1" x14ac:dyDescent="0.15">
      <c r="C34" s="1413"/>
      <c r="D34" s="1413"/>
      <c r="E34" s="1413"/>
      <c r="F34" s="1410"/>
      <c r="G34" s="1413"/>
      <c r="H34" s="1413"/>
    </row>
    <row r="35" spans="3:8" ht="21" customHeight="1" x14ac:dyDescent="0.15">
      <c r="C35" s="1413"/>
      <c r="D35" s="1413"/>
      <c r="E35" s="1413"/>
      <c r="F35" s="1410"/>
      <c r="G35" s="1413"/>
      <c r="H35" s="1413"/>
    </row>
    <row r="36" spans="3:8" ht="21" customHeight="1" x14ac:dyDescent="0.15">
      <c r="C36" s="1413"/>
      <c r="D36" s="1413"/>
      <c r="E36" s="1413"/>
      <c r="F36" s="1410"/>
      <c r="G36" s="1413"/>
      <c r="H36" s="1413"/>
    </row>
    <row r="37" spans="3:8" ht="21" customHeight="1" x14ac:dyDescent="0.15">
      <c r="C37" s="1413"/>
      <c r="D37" s="1413"/>
      <c r="E37" s="1413"/>
      <c r="F37" s="1410"/>
      <c r="G37" s="1413"/>
      <c r="H37" s="1413"/>
    </row>
    <row r="38" spans="3:8" ht="21" customHeight="1" x14ac:dyDescent="0.15">
      <c r="C38" s="1413"/>
      <c r="D38" s="1413"/>
      <c r="E38" s="1413"/>
      <c r="F38" s="1410"/>
      <c r="G38" s="1413"/>
      <c r="H38" s="1413"/>
    </row>
    <row r="39" spans="3:8" ht="21" customHeight="1" x14ac:dyDescent="0.15">
      <c r="C39" s="1413"/>
      <c r="D39" s="1413"/>
      <c r="E39" s="1413"/>
      <c r="F39" s="1410"/>
      <c r="G39" s="1413"/>
      <c r="H39" s="1413"/>
    </row>
    <row r="40" spans="3:8" ht="21" customHeight="1" x14ac:dyDescent="0.15">
      <c r="C40" s="1413"/>
      <c r="D40" s="1413"/>
      <c r="E40" s="1413"/>
      <c r="F40" s="1410"/>
      <c r="G40" s="1413"/>
      <c r="H40" s="1413"/>
    </row>
    <row r="41" spans="3:8" ht="21" customHeight="1" x14ac:dyDescent="0.15">
      <c r="C41" s="1413"/>
      <c r="D41" s="1413"/>
      <c r="E41" s="1413"/>
      <c r="F41" s="1410"/>
      <c r="G41" s="1413"/>
      <c r="H41" s="1413"/>
    </row>
    <row r="42" spans="3:8" ht="21" customHeight="1" x14ac:dyDescent="0.15">
      <c r="C42" s="1414"/>
      <c r="D42" s="1414"/>
      <c r="E42" s="1414"/>
      <c r="F42" s="1415"/>
      <c r="G42" s="1414"/>
      <c r="H42" s="1414"/>
    </row>
  </sheetData>
  <sheetProtection selectLockedCells="1"/>
  <conditionalFormatting sqref="H29">
    <cfRule type="cellIs" dxfId="8" priority="6" stopIfTrue="1" operator="equal">
      <formula>"ERREUR (Actif ≠ Passif)"</formula>
    </cfRule>
    <cfRule type="cellIs" dxfId="7" priority="7" stopIfTrue="1" operator="equal">
      <formula>"ERREUR (Actif ≠ Passif)"</formula>
    </cfRule>
    <cfRule type="cellIs" dxfId="6" priority="9" stopIfTrue="1" operator="equal">
      <formula>"ERREUR (Actif ≠ Passif)"</formula>
    </cfRule>
  </conditionalFormatting>
  <conditionalFormatting sqref="G30:H30">
    <cfRule type="cellIs" dxfId="5" priority="8" stopIfTrue="1" operator="equal">
      <formula>"ERREUR (Actif ≠ Passif)"</formula>
    </cfRule>
  </conditionalFormatting>
  <conditionalFormatting sqref="G29">
    <cfRule type="cellIs" dxfId="4" priority="5" stopIfTrue="1" operator="equal">
      <formula>"ERREUR (Actif ≠ Passif)"</formula>
    </cfRule>
  </conditionalFormatting>
  <conditionalFormatting sqref="E30">
    <cfRule type="cellIs" dxfId="3" priority="4" stopIfTrue="1" operator="equal">
      <formula>"ERREUR (Actif ≠ Passif)"</formula>
    </cfRule>
  </conditionalFormatting>
  <conditionalFormatting sqref="E29">
    <cfRule type="cellIs" dxfId="2" priority="3" stopIfTrue="1" operator="equal">
      <formula>"ERREUR (Actif ≠ Passif)"</formula>
    </cfRule>
  </conditionalFormatting>
  <conditionalFormatting sqref="D30">
    <cfRule type="cellIs" dxfId="1" priority="2" stopIfTrue="1" operator="equal">
      <formula>"ERREUR (Actif ≠ Passif)"</formula>
    </cfRule>
  </conditionalFormatting>
  <conditionalFormatting sqref="D29">
    <cfRule type="cellIs" dxfId="0" priority="1" stopIfTrue="1" operator="equal">
      <formula>"ERREUR (Actif ≠ Passif)"</formula>
    </cfRule>
  </conditionalFormatting>
  <pageMargins left="0.78740157499999996" right="0.78740157499999996" top="0.984251969" bottom="0.984251969" header="0.4921259845" footer="0.4921259845"/>
  <pageSetup paperSize="9" scale="62"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4EBB-A31F-074E-9642-2AB3C04B9932}">
  <sheetPr>
    <tabColor rgb="FF00915A"/>
  </sheetPr>
  <dimension ref="C1:R57"/>
  <sheetViews>
    <sheetView showGridLines="0" zoomScaleNormal="100" zoomScaleSheetLayoutView="100" workbookViewId="0">
      <pane xSplit="4" ySplit="5" topLeftCell="E6" activePane="bottomRight" state="frozen"/>
      <selection pane="topRight" activeCell="E1" sqref="E1"/>
      <selection pane="bottomLeft" activeCell="A5" sqref="A5"/>
      <selection pane="bottomRight" activeCell="A4" sqref="A4:XFD5"/>
    </sheetView>
  </sheetViews>
  <sheetFormatPr baseColWidth="10" defaultColWidth="11.5" defaultRowHeight="15.75" customHeight="1" x14ac:dyDescent="0.15"/>
  <cols>
    <col min="1" max="2" width="4.33203125" style="1408" customWidth="1"/>
    <col min="3" max="3" width="22" style="1416" customWidth="1"/>
    <col min="4" max="4" width="36" style="1416" customWidth="1"/>
    <col min="5" max="14" width="15" style="1408" customWidth="1"/>
    <col min="15" max="15" width="4.33203125" style="1408" customWidth="1"/>
    <col min="16" max="16384" width="11.5" style="1408"/>
  </cols>
  <sheetData>
    <row r="1" spans="3:18" ht="18" customHeight="1" x14ac:dyDescent="0.15">
      <c r="C1" s="1435" t="s">
        <v>1016</v>
      </c>
      <c r="D1" s="1466"/>
      <c r="E1" s="1409"/>
      <c r="F1" s="1409"/>
      <c r="G1" s="1409"/>
      <c r="H1" s="1409"/>
      <c r="I1" s="1409"/>
      <c r="J1" s="1409"/>
      <c r="K1" s="1409"/>
      <c r="L1" s="1409"/>
      <c r="M1" s="1409"/>
      <c r="N1" s="1409"/>
      <c r="O1" s="1409"/>
      <c r="P1" s="1409"/>
      <c r="Q1" s="1409"/>
      <c r="R1" s="1409"/>
    </row>
    <row r="2" spans="3:18" ht="18" customHeight="1" x14ac:dyDescent="0.15">
      <c r="C2" s="1435" t="s">
        <v>1017</v>
      </c>
      <c r="D2" s="1466"/>
      <c r="E2" s="1409"/>
      <c r="F2" s="1409"/>
      <c r="G2" s="1409"/>
      <c r="H2" s="1409"/>
      <c r="I2" s="1409"/>
      <c r="J2" s="1409"/>
      <c r="K2" s="1409"/>
      <c r="L2" s="1409"/>
      <c r="M2" s="1409"/>
      <c r="N2" s="1409"/>
      <c r="O2" s="1409"/>
      <c r="P2" s="1409"/>
      <c r="Q2" s="1409"/>
      <c r="R2" s="1409"/>
    </row>
    <row r="3" spans="3:18" ht="18" customHeight="1" x14ac:dyDescent="0.15">
      <c r="C3" s="1435" t="s">
        <v>1018</v>
      </c>
      <c r="D3" s="1466"/>
      <c r="E3" s="1409"/>
      <c r="F3" s="1409"/>
      <c r="G3" s="1409"/>
      <c r="H3" s="1409"/>
      <c r="I3" s="1409"/>
      <c r="J3" s="1409"/>
      <c r="K3" s="1409"/>
      <c r="L3" s="1409"/>
      <c r="M3" s="1409"/>
      <c r="N3" s="1409"/>
      <c r="O3" s="1409"/>
      <c r="P3" s="1409"/>
      <c r="Q3" s="1409"/>
      <c r="R3" s="1409"/>
    </row>
    <row r="4" spans="3:18" ht="15" customHeight="1" x14ac:dyDescent="0.15">
      <c r="C4" s="1512" t="s">
        <v>952</v>
      </c>
      <c r="D4" s="1512"/>
      <c r="E4" s="1517" t="s">
        <v>1015</v>
      </c>
      <c r="F4" s="1517"/>
      <c r="G4" s="1517" t="s">
        <v>1014</v>
      </c>
      <c r="H4" s="1517"/>
      <c r="I4" s="1517" t="s">
        <v>896</v>
      </c>
      <c r="J4" s="1517"/>
      <c r="K4" s="1517" t="s">
        <v>1013</v>
      </c>
      <c r="L4" s="1517"/>
      <c r="M4" s="1517" t="s">
        <v>1012</v>
      </c>
      <c r="N4" s="1517"/>
    </row>
    <row r="5" spans="3:18" ht="30" customHeight="1" x14ac:dyDescent="0.15">
      <c r="C5" s="1512"/>
      <c r="D5" s="1512"/>
      <c r="E5" s="1483" t="s">
        <v>953</v>
      </c>
      <c r="F5" s="1484" t="s">
        <v>954</v>
      </c>
      <c r="G5" s="1483" t="s">
        <v>953</v>
      </c>
      <c r="H5" s="1484" t="s">
        <v>954</v>
      </c>
      <c r="I5" s="1483" t="s">
        <v>953</v>
      </c>
      <c r="J5" s="1484" t="s">
        <v>954</v>
      </c>
      <c r="K5" s="1483" t="s">
        <v>955</v>
      </c>
      <c r="L5" s="1484" t="s">
        <v>956</v>
      </c>
      <c r="M5" s="1483" t="s">
        <v>955</v>
      </c>
      <c r="N5" s="1484" t="s">
        <v>956</v>
      </c>
    </row>
    <row r="6" spans="3:18" ht="18" customHeight="1" x14ac:dyDescent="0.15">
      <c r="C6" s="1516" t="s">
        <v>957</v>
      </c>
      <c r="D6" s="1516"/>
      <c r="E6" s="1485"/>
      <c r="F6" s="1486"/>
      <c r="G6" s="1485"/>
      <c r="H6" s="1486"/>
      <c r="I6" s="1485"/>
      <c r="J6" s="1486"/>
      <c r="K6" s="1485"/>
      <c r="L6" s="1487">
        <v>246152.98699999999</v>
      </c>
      <c r="M6" s="1485"/>
      <c r="N6" s="1487">
        <v>223276.08499999999</v>
      </c>
    </row>
    <row r="7" spans="3:18" ht="18" customHeight="1" x14ac:dyDescent="0.15">
      <c r="C7" s="1518" t="s">
        <v>958</v>
      </c>
      <c r="D7" s="1488" t="s">
        <v>959</v>
      </c>
      <c r="E7" s="1485"/>
      <c r="F7" s="1486"/>
      <c r="G7" s="1485"/>
      <c r="H7" s="1486"/>
      <c r="I7" s="1485"/>
      <c r="J7" s="1486"/>
      <c r="K7" s="1485"/>
      <c r="L7" s="1486"/>
      <c r="M7" s="1485"/>
      <c r="N7" s="1486"/>
    </row>
    <row r="8" spans="3:18" ht="18" customHeight="1" x14ac:dyDescent="0.15">
      <c r="C8" s="1518"/>
      <c r="D8" s="1488" t="s">
        <v>960</v>
      </c>
      <c r="E8" s="1485"/>
      <c r="F8" s="1486"/>
      <c r="G8" s="1485"/>
      <c r="H8" s="1486"/>
      <c r="I8" s="1485"/>
      <c r="J8" s="1486"/>
      <c r="K8" s="1485"/>
      <c r="L8" s="1486"/>
      <c r="M8" s="1485"/>
      <c r="N8" s="1486"/>
    </row>
    <row r="9" spans="3:18" ht="18" customHeight="1" x14ac:dyDescent="0.15">
      <c r="C9" s="1518"/>
      <c r="D9" s="1488" t="s">
        <v>961</v>
      </c>
      <c r="E9" s="1485"/>
      <c r="F9" s="1486"/>
      <c r="G9" s="1485"/>
      <c r="H9" s="1486"/>
      <c r="I9" s="1485"/>
      <c r="J9" s="1486"/>
      <c r="K9" s="1485"/>
      <c r="L9" s="1486"/>
      <c r="M9" s="1485"/>
      <c r="N9" s="1486"/>
    </row>
    <row r="10" spans="3:18" ht="18" customHeight="1" x14ac:dyDescent="0.15">
      <c r="C10" s="1516" t="s">
        <v>962</v>
      </c>
      <c r="D10" s="1516"/>
      <c r="E10" s="1485"/>
      <c r="F10" s="1486"/>
      <c r="G10" s="1485"/>
      <c r="H10" s="1486"/>
      <c r="I10" s="1485"/>
      <c r="J10" s="1486"/>
      <c r="K10" s="1485"/>
      <c r="L10" s="1486"/>
      <c r="M10" s="1485"/>
      <c r="N10" s="1486"/>
    </row>
    <row r="11" spans="3:18" ht="18" customHeight="1" x14ac:dyDescent="0.15">
      <c r="C11" s="1516" t="s">
        <v>963</v>
      </c>
      <c r="D11" s="1516"/>
      <c r="E11" s="1485"/>
      <c r="F11" s="1486"/>
      <c r="G11" s="1485"/>
      <c r="H11" s="1486"/>
      <c r="I11" s="1485"/>
      <c r="J11" s="1486"/>
      <c r="K11" s="1485"/>
      <c r="L11" s="1486"/>
      <c r="M11" s="1485"/>
      <c r="N11" s="1486"/>
    </row>
    <row r="12" spans="3:18" ht="18" customHeight="1" x14ac:dyDescent="0.15">
      <c r="C12" s="1519" t="s">
        <v>964</v>
      </c>
      <c r="D12" s="1519"/>
      <c r="E12" s="1489">
        <f>(IF((SUM(E6:E11))&gt;(SUM(F6:F11)),(+F6+F7+F8+F9+F10+F11-E6-E7-E8-E9-E10-E11),0))*(-1)</f>
        <v>0</v>
      </c>
      <c r="F12" s="1490">
        <f>IF((SUM(F6:F11))&gt;(SUM(E6:E11)),(+F6+F7+F8+F9+F10+F11-E6-E7-E8-E9-E10-E11),0)</f>
        <v>0</v>
      </c>
      <c r="G12" s="1489">
        <f>(IF((SUM(G6:G11))&gt;(SUM(H6:H11)),(+H6+H7+H8+H9+H10+H11-G6-G7-G8-G9-G10-G11),0))*(-1)</f>
        <v>0</v>
      </c>
      <c r="H12" s="1490">
        <f>IF((SUM(H6:H11))&gt;(SUM(G6:G11)),(+H6+H7+H8+H9+H10+H11-G6-G7-G8-G9-G10-G11),0)</f>
        <v>0</v>
      </c>
      <c r="I12" s="1489">
        <f>(IF((SUM(I6:I11))&gt;(SUM(J6:J11)),(+J6+J7+J8+J9+J10+J11-I6-I7-I8-I9-I10-I11),0))*(-1)</f>
        <v>0</v>
      </c>
      <c r="J12" s="1490">
        <f>IF((SUM(J6:J11))&gt;(SUM(I6:I11)),(+J6+J7+J8+J9+J10+J11-I6-I7-I8-I9-I10-I11),0)</f>
        <v>0</v>
      </c>
      <c r="K12" s="1489">
        <f>(IF((SUM(K6:K11))&gt;(SUM(L6:L11)),(+L6+L7+L8+L9+L10+L11-K6-K7-K8-K9-K10-K11),0))*(-1)</f>
        <v>0</v>
      </c>
      <c r="L12" s="1490">
        <f>IF((SUM(L6:L11))&gt;(SUM(K6:K11)),(+L6+L7+L8+L9+L10+L11-K6-K7-K8-K9-K10-K11),0)</f>
        <v>246152.98699999999</v>
      </c>
      <c r="M12" s="1489">
        <f>(IF((SUM(M6:M11))&gt;(SUM(N6:N11)),(+N6+N7+N8+N9+N10+N11-M6-M7-M8-M9-M10-M11),0))*(-1)</f>
        <v>0</v>
      </c>
      <c r="N12" s="1490">
        <f>IF((SUM(N6:N11))&gt;(SUM(M6:M11)),(+N6+N7+N8+N9+N10+N11-M6-M7-M8-M9-M10-M11),0)</f>
        <v>223276.08499999999</v>
      </c>
    </row>
    <row r="13" spans="3:18" ht="18" customHeight="1" x14ac:dyDescent="0.15">
      <c r="C13" s="1516" t="s">
        <v>965</v>
      </c>
      <c r="D13" s="1516"/>
      <c r="E13" s="1491"/>
      <c r="F13" s="1492"/>
      <c r="G13" s="1491"/>
      <c r="H13" s="1492"/>
      <c r="I13" s="1491"/>
      <c r="J13" s="1492"/>
      <c r="K13" s="1491"/>
      <c r="L13" s="1492"/>
      <c r="M13" s="1491"/>
      <c r="N13" s="1492"/>
    </row>
    <row r="14" spans="3:18" ht="18" customHeight="1" x14ac:dyDescent="0.15">
      <c r="C14" s="1516" t="s">
        <v>966</v>
      </c>
      <c r="D14" s="1516"/>
      <c r="E14" s="1491"/>
      <c r="F14" s="1492"/>
      <c r="G14" s="1491"/>
      <c r="H14" s="1492"/>
      <c r="I14" s="1491"/>
      <c r="J14" s="1492"/>
      <c r="K14" s="1491"/>
      <c r="L14" s="1492"/>
      <c r="M14" s="1491"/>
      <c r="N14" s="1492"/>
    </row>
    <row r="15" spans="3:18" ht="18" customHeight="1" x14ac:dyDescent="0.15">
      <c r="C15" s="1516" t="s">
        <v>967</v>
      </c>
      <c r="D15" s="1516"/>
      <c r="E15" s="1491"/>
      <c r="F15" s="1492"/>
      <c r="G15" s="1491"/>
      <c r="H15" s="1492"/>
      <c r="I15" s="1491"/>
      <c r="J15" s="1492"/>
      <c r="K15" s="1491"/>
      <c r="L15" s="1492"/>
      <c r="M15" s="1491"/>
      <c r="N15" s="1492"/>
    </row>
    <row r="16" spans="3:18" ht="18" customHeight="1" x14ac:dyDescent="0.15">
      <c r="C16" s="1520" t="s">
        <v>968</v>
      </c>
      <c r="D16" s="1520"/>
      <c r="E16" s="1493">
        <f>(IF((SUM(E12:E15))&gt;(SUM(F12:F15)),(+F12+F13+F14+F15-E12-E13-E14-E15),0))*(-1)</f>
        <v>0</v>
      </c>
      <c r="F16" s="1494">
        <f>IF((SUM(F12:F15))&gt;(SUM(E12:E15)),(+F12+F13+F14+F15-E12-E13-E14-E15),0)</f>
        <v>0</v>
      </c>
      <c r="G16" s="1493">
        <f>(IF((SUM(G12:G15))&gt;(SUM(H12:H15)),(+H12+H13+H14+H15-G12-G13-G14-G15),0))*(-1)</f>
        <v>0</v>
      </c>
      <c r="H16" s="1494">
        <f>IF((SUM(H12:H15))&gt;(SUM(G12:G15)),(+H12+H13+H14+H15-G12-G13-G14-G15),0)</f>
        <v>0</v>
      </c>
      <c r="I16" s="1493">
        <f>(IF((SUM(I12:I15))&gt;(SUM(J12:J15)),(+J12+J13+J14+J15-I12-I13-I14-I15),0))*(-1)</f>
        <v>0</v>
      </c>
      <c r="J16" s="1494">
        <f>IF((SUM(J12:J15))&gt;(SUM(I12:I15)),(+J12+J13+J14+J15-I12-I13-I14-I15),0)</f>
        <v>0</v>
      </c>
      <c r="K16" s="1493">
        <f>(IF((SUM(K12:K15))&gt;(SUM(L12:L15)),(+L12+L13+L14+L15-K12-K13-K14-K15),0))*(-1)</f>
        <v>0</v>
      </c>
      <c r="L16" s="1494">
        <f>IF((SUM(L12:L15))&gt;(SUM(K12:K15)),(+L12+L13+L14+L15-K12-K13-K14-K15),0)</f>
        <v>246152.98699999999</v>
      </c>
      <c r="M16" s="1493">
        <f>(IF((SUM(M12:M15))&gt;(SUM(N12:N15)),(+N12+N13+N14+N15-M12-M13-M14-M15),0))*(-1)</f>
        <v>0</v>
      </c>
      <c r="N16" s="1494">
        <f>IF((SUM(N12:N15))&gt;(SUM(M12:M15)),(+N12+N13+N14+N15-M12-M13-M14-M15),0)</f>
        <v>223276.08499999999</v>
      </c>
    </row>
    <row r="17" spans="3:14" ht="18" customHeight="1" x14ac:dyDescent="0.15">
      <c r="C17" s="1516" t="s">
        <v>969</v>
      </c>
      <c r="D17" s="1516"/>
      <c r="E17" s="1491"/>
      <c r="F17" s="1492"/>
      <c r="G17" s="1491"/>
      <c r="H17" s="1492"/>
      <c r="I17" s="1491"/>
      <c r="J17" s="1492"/>
      <c r="K17" s="1491"/>
      <c r="L17" s="1492"/>
      <c r="M17" s="1491"/>
      <c r="N17" s="1492"/>
    </row>
    <row r="18" spans="3:14" ht="18" customHeight="1" x14ac:dyDescent="0.15">
      <c r="C18" s="1516" t="s">
        <v>970</v>
      </c>
      <c r="D18" s="1516"/>
      <c r="E18" s="1491"/>
      <c r="F18" s="1492"/>
      <c r="G18" s="1491"/>
      <c r="H18" s="1492"/>
      <c r="I18" s="1491"/>
      <c r="J18" s="1492"/>
      <c r="K18" s="1495">
        <v>165273.99</v>
      </c>
      <c r="L18" s="1492"/>
      <c r="M18" s="1495">
        <v>150424.326</v>
      </c>
      <c r="N18" s="1492"/>
    </row>
    <row r="19" spans="3:14" ht="18" customHeight="1" x14ac:dyDescent="0.15">
      <c r="C19" s="1516" t="s">
        <v>971</v>
      </c>
      <c r="D19" s="1516"/>
      <c r="E19" s="1491"/>
      <c r="F19" s="1492"/>
      <c r="G19" s="1491"/>
      <c r="H19" s="1492"/>
      <c r="I19" s="1491"/>
      <c r="J19" s="1492"/>
      <c r="K19" s="1491"/>
      <c r="L19" s="1492"/>
      <c r="M19" s="1491"/>
      <c r="N19" s="1492"/>
    </row>
    <row r="20" spans="3:14" ht="18" customHeight="1" x14ac:dyDescent="0.15">
      <c r="C20" s="1516" t="s">
        <v>972</v>
      </c>
      <c r="D20" s="1516"/>
      <c r="E20" s="1491"/>
      <c r="F20" s="1492"/>
      <c r="G20" s="1491"/>
      <c r="H20" s="1492"/>
      <c r="I20" s="1491"/>
      <c r="J20" s="1492"/>
      <c r="K20" s="1491"/>
      <c r="L20" s="1492"/>
      <c r="M20" s="1491"/>
      <c r="N20" s="1492"/>
    </row>
    <row r="21" spans="3:14" ht="18" customHeight="1" x14ac:dyDescent="0.15">
      <c r="C21" s="1516" t="s">
        <v>973</v>
      </c>
      <c r="D21" s="1516"/>
      <c r="E21" s="1491"/>
      <c r="F21" s="1492"/>
      <c r="G21" s="1491"/>
      <c r="H21" s="1492"/>
      <c r="I21" s="1491"/>
      <c r="J21" s="1492"/>
      <c r="K21" s="1491"/>
      <c r="L21" s="1492"/>
      <c r="M21" s="1491"/>
      <c r="N21" s="1492"/>
    </row>
    <row r="22" spans="3:14" ht="18" customHeight="1" x14ac:dyDescent="0.15">
      <c r="C22" s="1516" t="s">
        <v>974</v>
      </c>
      <c r="D22" s="1516"/>
      <c r="E22" s="1491"/>
      <c r="F22" s="1492"/>
      <c r="G22" s="1491"/>
      <c r="H22" s="1492"/>
      <c r="I22" s="1491"/>
      <c r="J22" s="1492"/>
      <c r="K22" s="1491"/>
      <c r="L22" s="1492"/>
      <c r="M22" s="1495">
        <v>2683.194</v>
      </c>
      <c r="N22" s="1492"/>
    </row>
    <row r="23" spans="3:14" ht="18" customHeight="1" x14ac:dyDescent="0.15">
      <c r="C23" s="1516" t="s">
        <v>975</v>
      </c>
      <c r="D23" s="1516"/>
      <c r="E23" s="1491"/>
      <c r="F23" s="1492"/>
      <c r="G23" s="1491"/>
      <c r="H23" s="1492"/>
      <c r="I23" s="1491"/>
      <c r="J23" s="1492"/>
      <c r="K23" s="1491"/>
      <c r="L23" s="1492"/>
      <c r="M23" s="1491"/>
      <c r="N23" s="1492"/>
    </row>
    <row r="24" spans="3:14" ht="18" customHeight="1" x14ac:dyDescent="0.15">
      <c r="C24" s="1518" t="s">
        <v>976</v>
      </c>
      <c r="D24" s="1488" t="s">
        <v>977</v>
      </c>
      <c r="E24" s="1491"/>
      <c r="F24" s="1492"/>
      <c r="G24" s="1491"/>
      <c r="H24" s="1492"/>
      <c r="I24" s="1491"/>
      <c r="J24" s="1492"/>
      <c r="K24" s="1491"/>
      <c r="L24" s="1492"/>
      <c r="M24" s="1495">
        <v>3155.8789999999999</v>
      </c>
      <c r="N24" s="1492"/>
    </row>
    <row r="25" spans="3:14" ht="18" customHeight="1" x14ac:dyDescent="0.15">
      <c r="C25" s="1518"/>
      <c r="D25" s="1488" t="s">
        <v>978</v>
      </c>
      <c r="E25" s="1491"/>
      <c r="F25" s="1492"/>
      <c r="G25" s="1491"/>
      <c r="H25" s="1492"/>
      <c r="I25" s="1491"/>
      <c r="J25" s="1492"/>
      <c r="K25" s="1491"/>
      <c r="L25" s="1492"/>
      <c r="M25" s="1495">
        <v>1002</v>
      </c>
      <c r="N25" s="1492"/>
    </row>
    <row r="26" spans="3:14" ht="18" customHeight="1" x14ac:dyDescent="0.15">
      <c r="C26" s="1518"/>
      <c r="D26" s="1488" t="s">
        <v>979</v>
      </c>
      <c r="E26" s="1491"/>
      <c r="F26" s="1492"/>
      <c r="G26" s="1491"/>
      <c r="H26" s="1492"/>
      <c r="I26" s="1491"/>
      <c r="J26" s="1492"/>
      <c r="K26" s="1491"/>
      <c r="L26" s="1492"/>
      <c r="M26" s="1495">
        <v>396.06200000000001</v>
      </c>
      <c r="N26" s="1492"/>
    </row>
    <row r="27" spans="3:14" ht="18" customHeight="1" x14ac:dyDescent="0.15">
      <c r="C27" s="1518"/>
      <c r="D27" s="1488" t="s">
        <v>980</v>
      </c>
      <c r="E27" s="1491"/>
      <c r="F27" s="1492"/>
      <c r="G27" s="1491"/>
      <c r="H27" s="1492"/>
      <c r="I27" s="1491"/>
      <c r="J27" s="1492"/>
      <c r="K27" s="1491"/>
      <c r="L27" s="1492"/>
      <c r="M27" s="1495">
        <v>271.07900000000001</v>
      </c>
      <c r="N27" s="1492"/>
    </row>
    <row r="28" spans="3:14" ht="18" customHeight="1" x14ac:dyDescent="0.15">
      <c r="C28" s="1518"/>
      <c r="D28" s="1488" t="s">
        <v>981</v>
      </c>
      <c r="E28" s="1491"/>
      <c r="F28" s="1492"/>
      <c r="G28" s="1491"/>
      <c r="H28" s="1492"/>
      <c r="I28" s="1491"/>
      <c r="J28" s="1492"/>
      <c r="K28" s="1491"/>
      <c r="L28" s="1492"/>
      <c r="M28" s="1491"/>
      <c r="N28" s="1492"/>
    </row>
    <row r="29" spans="3:14" ht="18" customHeight="1" x14ac:dyDescent="0.15">
      <c r="C29" s="1518"/>
      <c r="D29" s="1488" t="s">
        <v>982</v>
      </c>
      <c r="E29" s="1491"/>
      <c r="F29" s="1492"/>
      <c r="G29" s="1491"/>
      <c r="H29" s="1492"/>
      <c r="I29" s="1491"/>
      <c r="J29" s="1492"/>
      <c r="K29" s="1491"/>
      <c r="L29" s="1492"/>
      <c r="M29" s="1495">
        <v>2548.2069999999999</v>
      </c>
      <c r="N29" s="1492"/>
    </row>
    <row r="30" spans="3:14" ht="18" customHeight="1" x14ac:dyDescent="0.15">
      <c r="C30" s="1518"/>
      <c r="D30" s="1488" t="s">
        <v>983</v>
      </c>
      <c r="E30" s="1491"/>
      <c r="F30" s="1492"/>
      <c r="G30" s="1491"/>
      <c r="H30" s="1492"/>
      <c r="I30" s="1491"/>
      <c r="J30" s="1492"/>
      <c r="K30" s="1491"/>
      <c r="L30" s="1492"/>
      <c r="M30" s="1495">
        <v>103.47</v>
      </c>
      <c r="N30" s="1492"/>
    </row>
    <row r="31" spans="3:14" ht="18" customHeight="1" x14ac:dyDescent="0.15">
      <c r="C31" s="1518"/>
      <c r="D31" s="1488" t="s">
        <v>984</v>
      </c>
      <c r="E31" s="1491"/>
      <c r="F31" s="1492"/>
      <c r="G31" s="1491"/>
      <c r="H31" s="1492"/>
      <c r="I31" s="1491"/>
      <c r="J31" s="1492"/>
      <c r="K31" s="1491"/>
      <c r="L31" s="1492"/>
      <c r="M31" s="1491"/>
      <c r="N31" s="1492"/>
    </row>
    <row r="32" spans="3:14" ht="18" customHeight="1" x14ac:dyDescent="0.15">
      <c r="C32" s="1516" t="s">
        <v>985</v>
      </c>
      <c r="D32" s="1516"/>
      <c r="E32" s="1491"/>
      <c r="F32" s="1492"/>
      <c r="G32" s="1491"/>
      <c r="H32" s="1492"/>
      <c r="I32" s="1491"/>
      <c r="J32" s="1492"/>
      <c r="K32" s="1495">
        <v>18155.68</v>
      </c>
      <c r="L32" s="1492"/>
      <c r="M32" s="1495">
        <v>6958.35</v>
      </c>
      <c r="N32" s="1492"/>
    </row>
    <row r="33" spans="3:14" ht="18" customHeight="1" x14ac:dyDescent="0.15">
      <c r="C33" s="1516" t="s">
        <v>986</v>
      </c>
      <c r="D33" s="1516"/>
      <c r="E33" s="1491"/>
      <c r="F33" s="1492"/>
      <c r="G33" s="1491"/>
      <c r="H33" s="1492"/>
      <c r="I33" s="1491"/>
      <c r="J33" s="1492"/>
      <c r="K33" s="1491"/>
      <c r="L33" s="1492"/>
      <c r="M33" s="1491"/>
      <c r="N33" s="1492"/>
    </row>
    <row r="34" spans="3:14" ht="18" customHeight="1" x14ac:dyDescent="0.15">
      <c r="C34" s="1520" t="s">
        <v>987</v>
      </c>
      <c r="D34" s="1520"/>
      <c r="E34" s="1493">
        <f>(IF((SUM(E17:E33))&gt;(SUM(F17:F33)),(+(SUM(F17:F33))-(SUM(E17:E33))),0))*(-1)</f>
        <v>0</v>
      </c>
      <c r="F34" s="1494">
        <f>IF((SUM(F17:F33))&gt;(SUM(E17:E33)),(+(SUM(F17:F33))-(SUM(E17:E33))),0)</f>
        <v>0</v>
      </c>
      <c r="G34" s="1493">
        <f>(IF((SUM(G17:G33))&gt;(SUM(H17:H33)),(+(SUM(H17:H33))-(SUM(G17:G33))),0))*(-1)</f>
        <v>0</v>
      </c>
      <c r="H34" s="1494">
        <f>IF((SUM(H17:H33))&gt;(SUM(G17:G33)),(+(SUM(H17:H33))-(SUM(G17:G33))),0)</f>
        <v>0</v>
      </c>
      <c r="I34" s="1493">
        <f>(IF((SUM(I17:I33))&gt;(SUM(J17:J33)),(+(SUM(J17:J33))-(SUM(I17:I33))),0))*(-1)</f>
        <v>0</v>
      </c>
      <c r="J34" s="1494">
        <f>IF((SUM(J17:J33))&gt;(SUM(I17:I33)),(+(SUM(J17:J33))-(SUM(I17:I33))),0)</f>
        <v>0</v>
      </c>
      <c r="K34" s="1493">
        <f>(IF((SUM(K17:K33))&gt;(SUM(L17:L33)),(+(SUM(L17:L33))-(SUM(K17:K33))),0))*(-1)</f>
        <v>183429.66999999998</v>
      </c>
      <c r="L34" s="1494">
        <f>IF((SUM(L17:L33))&gt;(SUM(K17:K33)),(+(SUM(L17:L33))-(SUM(K17:K33))),0)</f>
        <v>0</v>
      </c>
      <c r="M34" s="1493">
        <f>(IF((SUM(M17:M33))&gt;(SUM(N17:N33)),(+(SUM(N17:N33))-(SUM(M17:M33))),0))*(-1)</f>
        <v>167542.56699999998</v>
      </c>
      <c r="N34" s="1494">
        <f>IF((SUM(N17:N33))&gt;(SUM(M17:M33)),(+(SUM(N17:N33))-(SUM(M17:M33))),0)</f>
        <v>0</v>
      </c>
    </row>
    <row r="35" spans="3:14" ht="18" customHeight="1" x14ac:dyDescent="0.15">
      <c r="C35" s="1520" t="s">
        <v>988</v>
      </c>
      <c r="D35" s="1520"/>
      <c r="E35" s="1493">
        <f>(IF(((+E34+E16)&gt;(+F34+F16)),(+F34+F16-E34-E16),0))*(-1)</f>
        <v>0</v>
      </c>
      <c r="F35" s="1494">
        <f>+IF(((+F34+F16)&gt;(+E34+E16)),(-E34-E16+F34+F16),0)</f>
        <v>0</v>
      </c>
      <c r="G35" s="1493">
        <f>(IF(((+G34+G16)&gt;(+H34+H16)),(+H34+H16-G34-G16),0))*(-1)</f>
        <v>0</v>
      </c>
      <c r="H35" s="1494">
        <f>+IF(((+H34+H16)&gt;(+G34+G16)),(-G34-G16+H34+H16),0)</f>
        <v>0</v>
      </c>
      <c r="I35" s="1493">
        <f>(IF(((+I34+I16)&gt;(+J34+J16)),(+J34+J16-I34-I16),0))*(-1)</f>
        <v>0</v>
      </c>
      <c r="J35" s="1494">
        <f>+IF(((+J34+J16)&gt;(+I34+I16)),(-I34-I16+J34+J16),0)</f>
        <v>0</v>
      </c>
      <c r="K35" s="1493">
        <f>(IF(((+K34+K16)&gt;(+L34+L16)),(+L34+L16-K34-K16),0))*(-1)</f>
        <v>0</v>
      </c>
      <c r="L35" s="1494">
        <f>+IF(((+L34+L16)&gt;(+K34+K16)),(-K34-K16+L34+L16),0)</f>
        <v>62723.31700000001</v>
      </c>
      <c r="M35" s="1493">
        <f>(IF(((+M34+M16)&gt;(+N34+N16)),(+N34+N16-M34-M16),0))*(-1)</f>
        <v>0</v>
      </c>
      <c r="N35" s="1494">
        <f>+IF(((+N34+N16)&gt;(+M34+M16)),(-M34-M16+N34+N16),0)</f>
        <v>55733.518000000011</v>
      </c>
    </row>
    <row r="36" spans="3:14" ht="18" customHeight="1" x14ac:dyDescent="0.15">
      <c r="C36" s="1488"/>
      <c r="D36" s="1488" t="s">
        <v>989</v>
      </c>
      <c r="E36" s="1491"/>
      <c r="F36" s="1492"/>
      <c r="G36" s="1491"/>
      <c r="H36" s="1492"/>
      <c r="I36" s="1491"/>
      <c r="J36" s="1492"/>
      <c r="K36" s="1495">
        <v>29033.923999999999</v>
      </c>
      <c r="L36" s="1492"/>
      <c r="M36" s="1495">
        <v>21966.003000000001</v>
      </c>
      <c r="N36" s="1492"/>
    </row>
    <row r="37" spans="3:14" ht="18" customHeight="1" x14ac:dyDescent="0.15">
      <c r="C37" s="1488"/>
      <c r="D37" s="1488" t="s">
        <v>990</v>
      </c>
      <c r="E37" s="1491"/>
      <c r="F37" s="1492"/>
      <c r="G37" s="1491"/>
      <c r="H37" s="1492"/>
      <c r="I37" s="1491"/>
      <c r="J37" s="1492"/>
      <c r="K37" s="1495">
        <v>4958.7209999999995</v>
      </c>
      <c r="L37" s="1492"/>
      <c r="M37" s="1495">
        <v>4518.5789999999997</v>
      </c>
      <c r="N37" s="1492"/>
    </row>
    <row r="38" spans="3:14" ht="18" customHeight="1" x14ac:dyDescent="0.15">
      <c r="C38" s="1520" t="s">
        <v>991</v>
      </c>
      <c r="D38" s="1520"/>
      <c r="E38" s="1493">
        <f>(IF((SUM(E35:E37))&gt;(SUM(F35:F37)),(+(SUM(F35:F37))-(SUM(E35:E37))),0))*(-1)</f>
        <v>0</v>
      </c>
      <c r="F38" s="1494">
        <f>IF((SUM(F35:F37))&gt;(SUM(E35:E37)),(+(SUM(F35:F37))-(SUM(E35:E37))),0)</f>
        <v>0</v>
      </c>
      <c r="G38" s="1493">
        <f>(IF((SUM(G35:G37))&gt;(SUM(H35:H37)),(+(SUM(H35:H37))-(SUM(G35:G37))),0))*(-1)</f>
        <v>0</v>
      </c>
      <c r="H38" s="1494">
        <f>IF((SUM(H35:H37))&gt;(SUM(G35:G37)),(+(SUM(H35:H37))-(SUM(G35:G37))),0)</f>
        <v>0</v>
      </c>
      <c r="I38" s="1493">
        <f>(IF((SUM(I35:I37))&gt;(SUM(J35:J37)),(+(SUM(J35:J37))-(SUM(I35:I37))),0))*(-1)</f>
        <v>0</v>
      </c>
      <c r="J38" s="1494">
        <f>IF((SUM(J35:J37))&gt;(SUM(I35:I37)),(+(SUM(J35:J37))-(SUM(I35:I37))),0)</f>
        <v>0</v>
      </c>
      <c r="K38" s="1493">
        <f>(IF((SUM(K35:K37))&gt;(SUM(L35:L37)),(+(SUM(L35:L37))-(SUM(K35:K37))),0))*(-1)</f>
        <v>0</v>
      </c>
      <c r="L38" s="1494">
        <f>IF((SUM(L35:L37))&gt;(SUM(K35:K37)),(+(SUM(L35:L37))-(SUM(K35:K37))),0)</f>
        <v>28730.672000000013</v>
      </c>
      <c r="M38" s="1493">
        <f>(IF((SUM(M35:M37))&gt;(SUM(N35:N37)),(+(SUM(N35:N37))-(SUM(M35:M37))),0))*(-1)</f>
        <v>0</v>
      </c>
      <c r="N38" s="1494">
        <f>IF((SUM(N35:N37))&gt;(SUM(M35:M37)),(+(SUM(N35:N37))-(SUM(M35:M37))),0)</f>
        <v>29248.936000000009</v>
      </c>
    </row>
    <row r="39" spans="3:14" ht="18" customHeight="1" x14ac:dyDescent="0.15">
      <c r="C39" s="1516" t="s">
        <v>992</v>
      </c>
      <c r="D39" s="1516"/>
      <c r="E39" s="1491"/>
      <c r="F39" s="1492"/>
      <c r="G39" s="1491"/>
      <c r="H39" s="1492"/>
      <c r="I39" s="1491"/>
      <c r="J39" s="1492"/>
      <c r="K39" s="1491"/>
      <c r="L39" s="1492"/>
      <c r="M39" s="1491"/>
      <c r="N39" s="1496">
        <v>108.803</v>
      </c>
    </row>
    <row r="40" spans="3:14" ht="18" customHeight="1" x14ac:dyDescent="0.15">
      <c r="C40" s="1516" t="s">
        <v>993</v>
      </c>
      <c r="D40" s="1516"/>
      <c r="E40" s="1491"/>
      <c r="F40" s="1492"/>
      <c r="G40" s="1491"/>
      <c r="H40" s="1492"/>
      <c r="I40" s="1491"/>
      <c r="J40" s="1492"/>
      <c r="K40" s="1495">
        <v>5</v>
      </c>
      <c r="L40" s="1492"/>
      <c r="M40" s="1495">
        <v>3875.82</v>
      </c>
      <c r="N40" s="1492"/>
    </row>
    <row r="41" spans="3:14" ht="18" customHeight="1" x14ac:dyDescent="0.15">
      <c r="C41" s="1516" t="s">
        <v>994</v>
      </c>
      <c r="D41" s="1516"/>
      <c r="E41" s="1491"/>
      <c r="F41" s="1492"/>
      <c r="G41" s="1491"/>
      <c r="H41" s="1492"/>
      <c r="I41" s="1491"/>
      <c r="J41" s="1492"/>
      <c r="K41" s="1495">
        <v>9054.0079999999998</v>
      </c>
      <c r="L41" s="1492"/>
      <c r="M41" s="1495">
        <v>6668.2629999999999</v>
      </c>
      <c r="N41" s="1492"/>
    </row>
    <row r="42" spans="3:14" ht="18" customHeight="1" x14ac:dyDescent="0.15">
      <c r="C42" s="1516" t="s">
        <v>995</v>
      </c>
      <c r="D42" s="1516"/>
      <c r="E42" s="1491"/>
      <c r="F42" s="1492"/>
      <c r="G42" s="1491"/>
      <c r="H42" s="1492"/>
      <c r="I42" s="1491"/>
      <c r="J42" s="1492"/>
      <c r="K42" s="1491"/>
      <c r="L42" s="1492"/>
      <c r="M42" s="1491"/>
      <c r="N42" s="1492"/>
    </row>
    <row r="43" spans="3:14" ht="18" customHeight="1" x14ac:dyDescent="0.15">
      <c r="C43" s="1516" t="s">
        <v>996</v>
      </c>
      <c r="D43" s="1516"/>
      <c r="E43" s="1491"/>
      <c r="F43" s="1492"/>
      <c r="G43" s="1491"/>
      <c r="H43" s="1492"/>
      <c r="I43" s="1491"/>
      <c r="J43" s="1492"/>
      <c r="K43" s="1491"/>
      <c r="L43" s="1492"/>
      <c r="M43" s="1491"/>
      <c r="N43" s="1492"/>
    </row>
    <row r="44" spans="3:14" ht="18" customHeight="1" x14ac:dyDescent="0.15">
      <c r="C44" s="1516" t="s">
        <v>997</v>
      </c>
      <c r="D44" s="1516"/>
      <c r="E44" s="1491"/>
      <c r="F44" s="1492"/>
      <c r="G44" s="1491"/>
      <c r="H44" s="1492"/>
      <c r="I44" s="1491"/>
      <c r="J44" s="1492"/>
      <c r="K44" s="1491"/>
      <c r="L44" s="1492"/>
      <c r="M44" s="1491"/>
      <c r="N44" s="1492"/>
    </row>
    <row r="45" spans="3:14" ht="18" customHeight="1" x14ac:dyDescent="0.15">
      <c r="C45" s="1520" t="s">
        <v>998</v>
      </c>
      <c r="D45" s="1520"/>
      <c r="E45" s="1493">
        <f>(IF((SUM(E38:E44))&gt;(SUM(F38:F44)),(+(SUM(F38:F44))-(SUM(E38:E44))),0))*(-1)</f>
        <v>0</v>
      </c>
      <c r="F45" s="1494">
        <f>IF((SUM(F38:F44))&gt;(SUM(E38:E44)),(+(SUM(F38:F44))-(SUM(E38:E44))),0)</f>
        <v>0</v>
      </c>
      <c r="G45" s="1493">
        <f>(IF((SUM(G38:G44))&gt;(SUM(H38:H44)),(+(SUM(H38:H44))-(SUM(G38:G44))),0))*(-1)</f>
        <v>0</v>
      </c>
      <c r="H45" s="1494">
        <f>IF((SUM(H38:H44))&gt;(SUM(G38:G44)),(+(SUM(H38:H44))-(SUM(G38:G44))),0)</f>
        <v>0</v>
      </c>
      <c r="I45" s="1493">
        <f>(IF((SUM(I38:I44))&gt;(SUM(J38:J44)),(+(SUM(J38:J44))-(SUM(I38:I44))),0))*(-1)</f>
        <v>0</v>
      </c>
      <c r="J45" s="1494">
        <f>IF((SUM(J38:J44))&gt;(SUM(I38:I44)),(+(SUM(J38:J44))-(SUM(I38:I44))),0)</f>
        <v>0</v>
      </c>
      <c r="K45" s="1493">
        <f>(IF((SUM(K38:K44))&gt;(SUM(L38:L44)),(+(SUM(L38:L44))-(SUM(K38:K44))),0))*(-1)</f>
        <v>0</v>
      </c>
      <c r="L45" s="1494">
        <f>IF((SUM(L38:L44))&gt;(SUM(K38:K44)),(+(SUM(L38:L44))-(SUM(K38:K44))),0)</f>
        <v>19671.664000000012</v>
      </c>
      <c r="M45" s="1493">
        <f>(IF((SUM(M38:M44))&gt;(SUM(N38:N44)),(+(SUM(N38:N44))-(SUM(M38:M44))),0))*(-1)</f>
        <v>0</v>
      </c>
      <c r="N45" s="1494">
        <f>IF((SUM(N38:N44))&gt;(SUM(M38:M44)),(+(SUM(N38:N44))-(SUM(M38:M44))),0)</f>
        <v>18813.65600000001</v>
      </c>
    </row>
    <row r="46" spans="3:14" ht="18" customHeight="1" x14ac:dyDescent="0.15">
      <c r="C46" s="1516" t="s">
        <v>999</v>
      </c>
      <c r="D46" s="1516"/>
      <c r="E46" s="1491"/>
      <c r="F46" s="1492"/>
      <c r="G46" s="1491"/>
      <c r="H46" s="1492"/>
      <c r="I46" s="1491"/>
      <c r="J46" s="1492"/>
      <c r="K46" s="1491"/>
      <c r="L46" s="1492"/>
      <c r="M46" s="1491"/>
      <c r="N46" s="1492"/>
    </row>
    <row r="47" spans="3:14" ht="18" customHeight="1" x14ac:dyDescent="0.15">
      <c r="C47" s="1516" t="s">
        <v>1000</v>
      </c>
      <c r="D47" s="1516"/>
      <c r="E47" s="1491"/>
      <c r="F47" s="1492"/>
      <c r="G47" s="1491"/>
      <c r="H47" s="1492"/>
      <c r="I47" s="1491"/>
      <c r="J47" s="1492"/>
      <c r="K47" s="1495">
        <v>406.26299999999998</v>
      </c>
      <c r="L47" s="1492"/>
      <c r="M47" s="1495">
        <v>930.33799999999997</v>
      </c>
      <c r="N47" s="1492"/>
    </row>
    <row r="48" spans="3:14" ht="18" customHeight="1" x14ac:dyDescent="0.15">
      <c r="C48" s="1520" t="s">
        <v>1001</v>
      </c>
      <c r="D48" s="1520"/>
      <c r="E48" s="1493">
        <f>(IF((SUM(E46:E47))&gt;(SUM(F46:F47)),(+(SUM(F46:F47))-(SUM(E46:E47))),0))*(-1)</f>
        <v>0</v>
      </c>
      <c r="F48" s="1494">
        <f>IF((SUM(F46:F47))&gt;(SUM(E46:E47)),(+(SUM(F46:F47))-(SUM(E46:E47))),0)</f>
        <v>0</v>
      </c>
      <c r="G48" s="1493">
        <f>(IF((SUM(G46:G47))&gt;(SUM(H46:H47)),(+(SUM(H46:H47))-(SUM(G46:G47))),0))*(-1)</f>
        <v>0</v>
      </c>
      <c r="H48" s="1494">
        <f>IF((SUM(H46:H47))&gt;(SUM(G46:G47)),(+(SUM(H46:H47))-(SUM(G46:G47))),0)</f>
        <v>0</v>
      </c>
      <c r="I48" s="1493">
        <f>(IF((SUM(I46:I47))&gt;(SUM(J46:J47)),(+(SUM(J46:J47))-(SUM(I46:I47))),0))*(-1)</f>
        <v>0</v>
      </c>
      <c r="J48" s="1494">
        <f>IF((SUM(J46:J47))&gt;(SUM(I46:I47)),(+(SUM(J46:J47))-(SUM(I46:I47))),0)</f>
        <v>0</v>
      </c>
      <c r="K48" s="1493">
        <f>(IF((SUM(K46:K47))&gt;(SUM(L46:L47)),(+(SUM(L46:L47))-(SUM(K46:K47))),0))*(-1)</f>
        <v>406.26299999999998</v>
      </c>
      <c r="L48" s="1494">
        <f>IF((SUM(L46:L47))&gt;(SUM(K46:K47)),(+(SUM(L46:L47))-(SUM(K46:K47))),0)</f>
        <v>0</v>
      </c>
      <c r="M48" s="1493">
        <f>(IF((SUM(M46:M47))&gt;(SUM(N46:N47)),(+(SUM(N46:N47))-(SUM(M46:M47))),0))*(-1)</f>
        <v>930.33799999999997</v>
      </c>
      <c r="N48" s="1494">
        <f>IF((SUM(N46:N47))&gt;(SUM(M46:M47)),(+(SUM(N46:N47))-(SUM(M46:M47))),0)</f>
        <v>0</v>
      </c>
    </row>
    <row r="49" spans="3:14" ht="18" customHeight="1" x14ac:dyDescent="0.15">
      <c r="C49" s="1520" t="s">
        <v>1002</v>
      </c>
      <c r="D49" s="1520"/>
      <c r="E49" s="1493">
        <f>(IF(((+E48+E45)&gt;(+F48+F45)),(+F48+F45-E48-E45),0))*(-1)</f>
        <v>0</v>
      </c>
      <c r="F49" s="1494">
        <f>+IF(((+F48+F45)&gt;(+E48+E45)),(-E48-E45+F48+F45),0)</f>
        <v>0</v>
      </c>
      <c r="G49" s="1493">
        <f>(IF(((+G48+G45)&gt;(+H48+H45)),(+H48+H45-G48-G45),0))*(-1)</f>
        <v>0</v>
      </c>
      <c r="H49" s="1494">
        <f>+IF(((+H48+H45)&gt;(+G48+G45)),(-G48-G45+H48+H45),0)</f>
        <v>0</v>
      </c>
      <c r="I49" s="1493">
        <f>(IF(((+I48+I45)&gt;(+J48+J45)),(+J48+J45-I48-I45),0))*(-1)</f>
        <v>0</v>
      </c>
      <c r="J49" s="1494">
        <f>+IF(((+J48+J45)&gt;(+I48+I45)),(-I48-I45+J48+J45),0)</f>
        <v>0</v>
      </c>
      <c r="K49" s="1493">
        <f>(IF(((+K48+K45)&gt;(+L48+L45)),(+L48+L45-K48-K45),0))*(-1)</f>
        <v>0</v>
      </c>
      <c r="L49" s="1494">
        <f>+IF(((+L48+L45)&gt;(+K48+K45)),(-K48-K45+L48+L45),0)</f>
        <v>19265.401000000013</v>
      </c>
      <c r="M49" s="1493">
        <f>(IF(((+M48+M45)&gt;(+N48+N45)),(+N48+N45-M48-M45),0))*(-1)</f>
        <v>0</v>
      </c>
      <c r="N49" s="1494">
        <f>+IF(((+N48+N45)&gt;(+M48+M45)),(-M48-M45+N48+N45),0)</f>
        <v>17883.31800000001</v>
      </c>
    </row>
    <row r="50" spans="3:14" ht="18" customHeight="1" x14ac:dyDescent="0.15">
      <c r="C50" s="1516" t="s">
        <v>1003</v>
      </c>
      <c r="D50" s="1516"/>
      <c r="E50" s="1491"/>
      <c r="F50" s="1492"/>
      <c r="G50" s="1491"/>
      <c r="H50" s="1492"/>
      <c r="I50" s="1491"/>
      <c r="J50" s="1492"/>
      <c r="K50" s="1491"/>
      <c r="L50" s="1492"/>
      <c r="M50" s="1491"/>
      <c r="N50" s="1492"/>
    </row>
    <row r="51" spans="3:14" ht="18" customHeight="1" x14ac:dyDescent="0.15">
      <c r="C51" s="1516" t="s">
        <v>1004</v>
      </c>
      <c r="D51" s="1516"/>
      <c r="E51" s="1491"/>
      <c r="F51" s="1492"/>
      <c r="G51" s="1491"/>
      <c r="H51" s="1492"/>
      <c r="I51" s="1491"/>
      <c r="J51" s="1492"/>
      <c r="K51" s="1491"/>
      <c r="L51" s="1492"/>
      <c r="M51" s="1491"/>
      <c r="N51" s="1492"/>
    </row>
    <row r="52" spans="3:14" ht="18" customHeight="1" x14ac:dyDescent="0.15">
      <c r="C52" s="1520" t="s">
        <v>1005</v>
      </c>
      <c r="D52" s="1520"/>
      <c r="E52" s="1493">
        <f>(IF((SUM(E50:E51))&gt;(SUM(F50:F51)),(+(SUM(F50:F51))-(SUM(E50:E51))),0))*(-1)</f>
        <v>0</v>
      </c>
      <c r="F52" s="1494">
        <f>IF((SUM(F50:F51))&gt;(SUM(E50:E51)),(+(SUM(F50:F51))-(SUM(E50:E51))),0)</f>
        <v>0</v>
      </c>
      <c r="G52" s="1493">
        <f>(IF((SUM(G50:G51))&gt;(SUM(H50:H51)),(+(SUM(H50:H51))-(SUM(G50:G51))),0))*(-1)</f>
        <v>0</v>
      </c>
      <c r="H52" s="1494">
        <f>IF((SUM(H50:H51))&gt;(SUM(G50:G51)),(+(SUM(H50:H51))-(SUM(G50:G51))),0)</f>
        <v>0</v>
      </c>
      <c r="I52" s="1493">
        <f>(IF((SUM(I50:I51))&gt;(SUM(J50:J51)),(+(SUM(J50:J51))-(SUM(I50:I51))),0))*(-1)</f>
        <v>0</v>
      </c>
      <c r="J52" s="1494">
        <f>IF((SUM(J50:J51))&gt;(SUM(I50:I51)),(+(SUM(J50:J51))-(SUM(I50:I51))),0)</f>
        <v>0</v>
      </c>
      <c r="K52" s="1493">
        <f>(IF((SUM(K50:K51))&gt;(SUM(L50:L51)),(+(SUM(L50:L51))-(SUM(K50:K51))),0))*(-1)</f>
        <v>0</v>
      </c>
      <c r="L52" s="1494">
        <f>IF((SUM(L50:L51))&gt;(SUM(K50:K51)),(+(SUM(L50:L51))-(SUM(K50:K51))),0)</f>
        <v>0</v>
      </c>
      <c r="M52" s="1493">
        <f>(IF((SUM(M50:M51))&gt;(SUM(N50:N51)),(+(SUM(N50:N51))-(SUM(M50:M51))),0))*(-1)</f>
        <v>0</v>
      </c>
      <c r="N52" s="1494">
        <f>IF((SUM(N50:N51))&gt;(SUM(M50:M51)),(+(SUM(N50:N51))-(SUM(M50:M51))),0)</f>
        <v>0</v>
      </c>
    </row>
    <row r="53" spans="3:14" ht="18" customHeight="1" x14ac:dyDescent="0.15">
      <c r="C53" s="1516" t="s">
        <v>1006</v>
      </c>
      <c r="D53" s="1516"/>
      <c r="E53" s="1491"/>
      <c r="F53" s="1492"/>
      <c r="G53" s="1491"/>
      <c r="H53" s="1492"/>
      <c r="I53" s="1491"/>
      <c r="J53" s="1492"/>
      <c r="K53" s="1495">
        <v>3853</v>
      </c>
      <c r="L53" s="1492"/>
      <c r="M53" s="1495">
        <v>3580.982</v>
      </c>
      <c r="N53" s="1492"/>
    </row>
    <row r="54" spans="3:14" ht="18" customHeight="1" x14ac:dyDescent="0.15">
      <c r="C54" s="1516" t="s">
        <v>1007</v>
      </c>
      <c r="D54" s="1516"/>
      <c r="E54" s="1491"/>
      <c r="F54" s="1492"/>
      <c r="G54" s="1491"/>
      <c r="H54" s="1492"/>
      <c r="I54" s="1491"/>
      <c r="J54" s="1492"/>
      <c r="K54" s="1491"/>
      <c r="L54" s="1492"/>
      <c r="M54" s="1491"/>
      <c r="N54" s="1492"/>
    </row>
    <row r="55" spans="3:14" ht="18" customHeight="1" x14ac:dyDescent="0.15">
      <c r="C55" s="1521" t="s">
        <v>1008</v>
      </c>
      <c r="D55" s="1521"/>
      <c r="E55" s="1497">
        <f>(IF((+E54+E53+E52+E49)&gt;(+F54+F53+F52+F49),(+F54+F53+F52+F49-E54-E53-E52-E49),0))*(-1)</f>
        <v>0</v>
      </c>
      <c r="F55" s="1498">
        <f>(IF((+F54+F53+F52+F49)&gt;(+E54+E53+E52+E49),(+E54+E53+E52+E49-F54-F53-F52-F49),0))*(-1)</f>
        <v>0</v>
      </c>
      <c r="G55" s="1497">
        <f>(IF((+G54+G53+G52+G49)&gt;(+H54+H53+H52+H49),(+H54+H53+H52+H49-G54-G53-G52-G49),0))*(-1)</f>
        <v>0</v>
      </c>
      <c r="H55" s="1498">
        <f>(IF((+H54+H53+H52+H49)&gt;(+G54+G53+G52+G49),(+G54+G53+G52+G49-H54-H53-H52-H49),0))*(-1)</f>
        <v>0</v>
      </c>
      <c r="I55" s="1497">
        <f>(IF((+I54+I53+I52+I49)&gt;(+J54+J53+J52+J49),(+J54+J53+J52+J49-I54-I53-I52-I49),0))*(-1)</f>
        <v>0</v>
      </c>
      <c r="J55" s="1498">
        <f>(IF((+J54+J53+J52+J49)&gt;(+I54+I53+I52+I49),(+I54+I53+I52+I49-J54-J53-J52-J49),0))*(-1)</f>
        <v>0</v>
      </c>
      <c r="K55" s="1497">
        <f>(IF((+K54+K53+K52+K49)&gt;(+L54+L53+L52+L49),(+L54+L53+L52+L49-K54-K53-K52-K49),0))*(-1)</f>
        <v>0</v>
      </c>
      <c r="L55" s="1498">
        <f>(IF((+L54+L53+L52+L49)&gt;(+K54+K53+K52+K49),(+K54+K53+K52+K49-L54-L53-L52-L49),0))*(-1)</f>
        <v>15412.401000000013</v>
      </c>
      <c r="M55" s="1497">
        <f>(IF((+M54+M53+M52+M49)&gt;(+N54+N53+N52+N49),(+N54+N53+N52+N49-M54-M53-M52-M49),0))*(-1)</f>
        <v>0</v>
      </c>
      <c r="N55" s="1498">
        <f>(IF((+N54+N53+N52+N49)&gt;(+M54+M53+M52+M49),(+M54+M53+M52+M49-N54-N53-N52-N49),0))*(-1)</f>
        <v>14302.33600000001</v>
      </c>
    </row>
    <row r="57" spans="3:14" ht="15.75" customHeight="1" x14ac:dyDescent="0.15">
      <c r="L57" s="1417"/>
    </row>
  </sheetData>
  <sheetProtection selectLockedCells="1"/>
  <mergeCells count="45">
    <mergeCell ref="C55:D55"/>
    <mergeCell ref="G4:H4"/>
    <mergeCell ref="E4:F4"/>
    <mergeCell ref="C49:D49"/>
    <mergeCell ref="C50:D50"/>
    <mergeCell ref="C51:D51"/>
    <mergeCell ref="C52:D52"/>
    <mergeCell ref="C53:D53"/>
    <mergeCell ref="C54:D54"/>
    <mergeCell ref="C43:D43"/>
    <mergeCell ref="C44:D44"/>
    <mergeCell ref="C45:D45"/>
    <mergeCell ref="C46:D46"/>
    <mergeCell ref="C47:D47"/>
    <mergeCell ref="C48:D48"/>
    <mergeCell ref="C35:D35"/>
    <mergeCell ref="C38:D38"/>
    <mergeCell ref="C39:D39"/>
    <mergeCell ref="C40:D40"/>
    <mergeCell ref="C41:D41"/>
    <mergeCell ref="C42:D42"/>
    <mergeCell ref="C34:D34"/>
    <mergeCell ref="C16:D16"/>
    <mergeCell ref="C17:D17"/>
    <mergeCell ref="C18:D18"/>
    <mergeCell ref="C19:D19"/>
    <mergeCell ref="C20:D20"/>
    <mergeCell ref="C21:D21"/>
    <mergeCell ref="C22:D22"/>
    <mergeCell ref="C23:D23"/>
    <mergeCell ref="C24:C31"/>
    <mergeCell ref="C32:D32"/>
    <mergeCell ref="C33:D33"/>
    <mergeCell ref="C15:D15"/>
    <mergeCell ref="C4:D5"/>
    <mergeCell ref="I4:J4"/>
    <mergeCell ref="K4:L4"/>
    <mergeCell ref="M4:N4"/>
    <mergeCell ref="C6:D6"/>
    <mergeCell ref="C7:C9"/>
    <mergeCell ref="C10:D10"/>
    <mergeCell ref="C11:D11"/>
    <mergeCell ref="C12:D12"/>
    <mergeCell ref="C13:D13"/>
    <mergeCell ref="C14:D14"/>
  </mergeCells>
  <pageMargins left="0.78740157499999996" right="0.78740157499999996" top="0.984251969" bottom="0.984251969" header="0.4921259845" footer="0.4921259845"/>
  <pageSetup paperSize="9" scale="56" orientation="portrait"/>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CBE99"/>
    <pageSetUpPr fitToPage="1"/>
  </sheetPr>
  <dimension ref="A1:BF1346"/>
  <sheetViews>
    <sheetView showGridLines="0" topLeftCell="A55" zoomScale="150" zoomScaleNormal="75" workbookViewId="0">
      <selection activeCell="I4" sqref="I4"/>
    </sheetView>
  </sheetViews>
  <sheetFormatPr baseColWidth="10" defaultColWidth="9.1640625" defaultRowHeight="14" outlineLevelRow="1" x14ac:dyDescent="0.15"/>
  <cols>
    <col min="1" max="1" width="23.5" style="10" customWidth="1"/>
    <col min="2" max="2" width="6.83203125" style="10" customWidth="1"/>
    <col min="3" max="3" width="60.5" style="10" bestFit="1" customWidth="1"/>
    <col min="4" max="4" width="8.33203125" style="10" hidden="1" customWidth="1"/>
    <col min="5" max="5" width="22.5" style="64" hidden="1" customWidth="1"/>
    <col min="6" max="7" width="9.1640625" style="63" hidden="1" customWidth="1"/>
    <col min="8" max="9" width="10" style="63" bestFit="1" customWidth="1"/>
    <col min="10" max="10" width="147.33203125" style="1376" bestFit="1" customWidth="1"/>
    <col min="11" max="13" width="7.6640625" style="1407" customWidth="1"/>
    <col min="14" max="14" width="7.6640625" style="1407" bestFit="1" customWidth="1"/>
    <col min="15" max="16" width="9.1640625" style="1352" customWidth="1"/>
    <col min="17" max="17" width="11.83203125" style="1352" customWidth="1"/>
    <col min="18" max="18" width="12.1640625" style="1352" customWidth="1"/>
    <col min="19" max="25" width="9.1640625" style="1352" customWidth="1"/>
    <col min="26" max="26" width="64.1640625" style="1352" customWidth="1"/>
    <col min="27" max="32" width="10.1640625" style="1352" customWidth="1"/>
    <col min="33" max="58" width="9.1640625" style="1352"/>
    <col min="59" max="16384" width="9.1640625" style="10"/>
  </cols>
  <sheetData>
    <row r="1" spans="1:58" s="3" customFormat="1" ht="13" customHeight="1" x14ac:dyDescent="0.15">
      <c r="B1" s="1"/>
      <c r="C1" s="1126" t="s">
        <v>619</v>
      </c>
      <c r="D1" s="224" t="s">
        <v>562</v>
      </c>
      <c r="E1" s="1"/>
      <c r="F1" s="1"/>
      <c r="G1" s="1"/>
      <c r="H1" s="2"/>
      <c r="I1" s="2">
        <f ca="1">TODAY()</f>
        <v>46304</v>
      </c>
      <c r="J1" s="1363"/>
      <c r="K1" s="1377"/>
      <c r="L1" s="1377"/>
      <c r="M1" s="1377"/>
      <c r="N1" s="1377">
        <f ca="1">TODAY()</f>
        <v>46304</v>
      </c>
      <c r="O1" s="1352"/>
      <c r="P1" s="1352"/>
      <c r="Q1" s="1352"/>
      <c r="R1" s="1352"/>
      <c r="S1" s="1352"/>
      <c r="T1" s="1352"/>
      <c r="U1" s="1352"/>
      <c r="V1" s="1352"/>
      <c r="W1" s="1352"/>
      <c r="X1" s="1352"/>
      <c r="Y1" s="1352"/>
      <c r="Z1" s="1354"/>
      <c r="AA1" s="1354"/>
      <c r="AB1" s="1354"/>
      <c r="AC1" s="1354"/>
      <c r="AD1" s="1354"/>
      <c r="AE1" s="1354"/>
      <c r="AF1" s="1354"/>
      <c r="AG1" s="1352"/>
      <c r="AH1" s="1352"/>
      <c r="AI1" s="1352"/>
      <c r="AJ1" s="1352"/>
      <c r="AK1" s="1352"/>
      <c r="AL1" s="1352"/>
      <c r="AM1" s="1352"/>
      <c r="AN1" s="1352"/>
      <c r="AO1" s="1352"/>
      <c r="AP1" s="1352"/>
      <c r="AQ1" s="1352"/>
      <c r="AR1" s="1352"/>
      <c r="AS1" s="1352"/>
      <c r="AT1" s="1352"/>
      <c r="AU1" s="1352"/>
      <c r="AV1" s="1352"/>
      <c r="AW1" s="1352"/>
      <c r="AX1" s="1352"/>
      <c r="AY1" s="1352"/>
      <c r="AZ1" s="1352"/>
      <c r="BA1" s="1352"/>
      <c r="BB1" s="1352"/>
      <c r="BC1" s="1352"/>
      <c r="BD1" s="1352"/>
      <c r="BE1" s="1352"/>
      <c r="BF1" s="1352"/>
    </row>
    <row r="2" spans="1:58" ht="27" customHeight="1" x14ac:dyDescent="0.15">
      <c r="B2" s="4" t="s">
        <v>705</v>
      </c>
      <c r="C2" s="5" t="s">
        <v>68</v>
      </c>
      <c r="D2" s="6"/>
      <c r="E2" s="7" t="s">
        <v>706</v>
      </c>
      <c r="F2" s="7"/>
      <c r="G2" s="7"/>
      <c r="H2" s="8"/>
      <c r="I2" s="8"/>
      <c r="J2" s="1363"/>
      <c r="K2" s="1378"/>
      <c r="L2" s="1378"/>
      <c r="M2" s="1378"/>
      <c r="N2" s="1378"/>
      <c r="Z2" s="1354"/>
      <c r="AA2" s="1354"/>
      <c r="AB2" s="1354"/>
      <c r="AC2" s="1354"/>
      <c r="AD2" s="1354"/>
      <c r="AE2" s="1354"/>
      <c r="AF2" s="1354"/>
    </row>
    <row r="3" spans="1:58" ht="27" customHeight="1" thickBot="1" x14ac:dyDescent="0.2">
      <c r="A3" s="1127" t="s">
        <v>208</v>
      </c>
      <c r="B3" s="4" t="s">
        <v>707</v>
      </c>
      <c r="C3" s="11" t="s">
        <v>69</v>
      </c>
      <c r="D3" s="1205">
        <v>38322</v>
      </c>
      <c r="E3" s="12">
        <v>39417</v>
      </c>
      <c r="F3" s="12">
        <v>39783</v>
      </c>
      <c r="G3" s="12">
        <v>40178</v>
      </c>
      <c r="H3" s="1349">
        <v>40543</v>
      </c>
      <c r="I3" s="1349">
        <v>46022</v>
      </c>
      <c r="J3" s="1364"/>
      <c r="K3" s="1379"/>
      <c r="L3" s="1379"/>
      <c r="M3" s="1379"/>
      <c r="N3" s="1379" t="str">
        <f>IF('Saisie actif'!U7="","",'Saisie actif'!U7)</f>
        <v/>
      </c>
      <c r="O3" s="1354"/>
      <c r="P3" s="1354"/>
      <c r="Q3" s="1354"/>
      <c r="R3" s="1354"/>
      <c r="S3" s="1354"/>
      <c r="Z3" s="1354"/>
      <c r="AA3" s="1354"/>
      <c r="AB3" s="1354"/>
      <c r="AC3" s="1354"/>
      <c r="AD3" s="1354"/>
      <c r="AE3" s="1354"/>
      <c r="AF3" s="1354"/>
    </row>
    <row r="4" spans="1:58" ht="13" customHeight="1" thickBot="1" x14ac:dyDescent="0.2">
      <c r="B4" s="14" t="s">
        <v>708</v>
      </c>
      <c r="C4" s="15"/>
      <c r="D4" s="1068">
        <f t="shared" ref="D4:H4" si="0">D5+D6+D7+D8-D9</f>
        <v>0</v>
      </c>
      <c r="E4" s="1069">
        <f t="shared" si="0"/>
        <v>0</v>
      </c>
      <c r="F4" s="1069">
        <f t="shared" si="0"/>
        <v>41.25</v>
      </c>
      <c r="G4" s="1069">
        <f t="shared" si="0"/>
        <v>16</v>
      </c>
      <c r="H4" s="1069">
        <f t="shared" si="0"/>
        <v>565.54499999999996</v>
      </c>
      <c r="I4" s="1069">
        <f>I5+I6+I7+I8-I9</f>
        <v>1520</v>
      </c>
      <c r="J4" s="1365"/>
      <c r="K4" s="1418"/>
      <c r="L4" s="1418"/>
      <c r="M4" s="1418"/>
      <c r="N4" s="1380">
        <f>N5+N6+N7+N8-N9</f>
        <v>0</v>
      </c>
      <c r="O4" s="1354"/>
      <c r="P4" s="1354"/>
      <c r="Q4" s="1354"/>
      <c r="R4" s="1354"/>
      <c r="S4" s="1354"/>
      <c r="Z4" s="1354"/>
      <c r="AA4" s="1361"/>
      <c r="AB4" s="1361"/>
      <c r="AC4" s="1361"/>
      <c r="AD4" s="1361"/>
      <c r="AE4" s="1361"/>
      <c r="AF4" s="1361"/>
    </row>
    <row r="5" spans="1:58" ht="13" customHeight="1" x14ac:dyDescent="0.15">
      <c r="A5" s="10" t="s">
        <v>209</v>
      </c>
      <c r="B5" s="16"/>
      <c r="C5" s="17" t="s">
        <v>709</v>
      </c>
      <c r="D5" s="1070"/>
      <c r="E5" s="1070"/>
      <c r="F5" s="1070">
        <v>41.25</v>
      </c>
      <c r="G5" s="1070"/>
      <c r="H5" s="1070"/>
      <c r="I5" s="1070"/>
      <c r="J5" s="1363"/>
      <c r="K5" s="1381"/>
      <c r="L5" s="1381"/>
      <c r="M5" s="1381"/>
      <c r="N5" s="1381"/>
      <c r="O5" s="1354"/>
      <c r="P5" s="1354"/>
      <c r="Q5" s="1354"/>
      <c r="R5" s="1354"/>
      <c r="S5" s="1354"/>
      <c r="Z5" s="1354"/>
      <c r="AA5" s="1354"/>
      <c r="AB5" s="1354"/>
      <c r="AC5" s="1354"/>
      <c r="AD5" s="1354"/>
      <c r="AE5" s="1354"/>
      <c r="AF5" s="1354"/>
    </row>
    <row r="6" spans="1:58" ht="13" customHeight="1" x14ac:dyDescent="0.15">
      <c r="A6" s="10" t="s">
        <v>210</v>
      </c>
      <c r="B6" s="17"/>
      <c r="C6" s="17" t="s">
        <v>710</v>
      </c>
      <c r="D6" s="1070"/>
      <c r="E6" s="1071"/>
      <c r="F6" s="1071"/>
      <c r="G6" s="1071"/>
      <c r="H6" s="1071"/>
      <c r="I6" s="1071"/>
      <c r="J6" s="1363"/>
      <c r="K6" s="1381"/>
      <c r="L6" s="1381"/>
      <c r="M6" s="1381"/>
      <c r="N6" s="1381"/>
      <c r="O6" s="1354"/>
      <c r="P6" s="1354"/>
      <c r="Q6" s="1354"/>
      <c r="R6" s="1354"/>
      <c r="S6" s="1354"/>
      <c r="Z6" s="1354"/>
      <c r="AA6" s="1354"/>
      <c r="AB6" s="1354"/>
      <c r="AC6" s="1354"/>
      <c r="AD6" s="1354"/>
      <c r="AE6" s="1354"/>
      <c r="AF6" s="1354"/>
    </row>
    <row r="7" spans="1:58" ht="31.5" customHeight="1" x14ac:dyDescent="0.15">
      <c r="B7" s="17"/>
      <c r="C7" s="18" t="s">
        <v>711</v>
      </c>
      <c r="D7" s="1070"/>
      <c r="E7" s="1071"/>
      <c r="F7" s="1071"/>
      <c r="G7" s="1071"/>
      <c r="H7" s="1071"/>
      <c r="I7" s="1071"/>
      <c r="J7" s="1363"/>
      <c r="K7" s="1381"/>
      <c r="L7" s="1381"/>
      <c r="M7" s="1381"/>
      <c r="N7" s="1381"/>
      <c r="O7" s="1354"/>
      <c r="P7" s="1354"/>
      <c r="Q7" s="1354"/>
      <c r="R7" s="1354"/>
      <c r="S7" s="1354"/>
      <c r="Z7" s="1354"/>
      <c r="AA7" s="1354"/>
      <c r="AB7" s="1354"/>
      <c r="AC7" s="1354"/>
      <c r="AD7" s="1354"/>
      <c r="AE7" s="1354"/>
      <c r="AF7" s="1354"/>
    </row>
    <row r="8" spans="1:58" ht="13" customHeight="1" x14ac:dyDescent="0.15">
      <c r="A8" s="10" t="s">
        <v>212</v>
      </c>
      <c r="B8" s="17"/>
      <c r="C8" s="17" t="s">
        <v>712</v>
      </c>
      <c r="D8" s="1070"/>
      <c r="E8" s="1071"/>
      <c r="F8" s="1071"/>
      <c r="G8" s="1071">
        <v>16</v>
      </c>
      <c r="H8" s="1071">
        <v>565.54499999999996</v>
      </c>
      <c r="I8" s="1071">
        <f>+'Saisie actif'!P11</f>
        <v>1520</v>
      </c>
      <c r="J8" s="1363"/>
      <c r="K8" s="1381"/>
      <c r="L8" s="1381"/>
      <c r="M8" s="1381"/>
      <c r="N8" s="1381">
        <f>+'Saisie actif'!U11</f>
        <v>0</v>
      </c>
      <c r="O8" s="1354"/>
      <c r="P8" s="1354"/>
      <c r="Q8" s="1354"/>
      <c r="R8" s="1354"/>
      <c r="S8" s="1354"/>
      <c r="Z8" s="1354"/>
      <c r="AA8" s="1354"/>
      <c r="AB8" s="1354"/>
      <c r="AC8" s="1354"/>
      <c r="AD8" s="1354"/>
      <c r="AE8" s="1354"/>
      <c r="AF8" s="1354"/>
    </row>
    <row r="9" spans="1:58" ht="13" customHeight="1" thickBot="1" x14ac:dyDescent="0.2">
      <c r="B9" s="17"/>
      <c r="C9" s="17" t="s">
        <v>713</v>
      </c>
      <c r="D9" s="1070"/>
      <c r="E9" s="1071"/>
      <c r="F9" s="1071"/>
      <c r="G9" s="1071"/>
      <c r="H9" s="1071"/>
      <c r="I9" s="1071"/>
      <c r="J9" s="1363"/>
      <c r="K9" s="1381"/>
      <c r="L9" s="1381"/>
      <c r="M9" s="1381"/>
      <c r="N9" s="1381"/>
      <c r="O9" s="1354"/>
      <c r="P9" s="1354"/>
      <c r="Q9" s="1354"/>
      <c r="R9" s="1354"/>
      <c r="S9" s="1354"/>
      <c r="Z9" s="1354"/>
      <c r="AA9" s="1361"/>
      <c r="AB9" s="1361"/>
      <c r="AC9" s="1361"/>
      <c r="AD9" s="1361"/>
      <c r="AE9" s="1361"/>
      <c r="AF9" s="1361"/>
    </row>
    <row r="10" spans="1:58" ht="13" customHeight="1" thickBot="1" x14ac:dyDescent="0.2">
      <c r="B10" s="14" t="s">
        <v>714</v>
      </c>
      <c r="C10" s="19"/>
      <c r="D10" s="1068">
        <f t="shared" ref="D10:I10" si="1">D11-D12</f>
        <v>0</v>
      </c>
      <c r="E10" s="1069">
        <f t="shared" si="1"/>
        <v>0</v>
      </c>
      <c r="F10" s="1069">
        <f t="shared" si="1"/>
        <v>0</v>
      </c>
      <c r="G10" s="1069">
        <f t="shared" si="1"/>
        <v>1.466</v>
      </c>
      <c r="H10" s="1069">
        <f t="shared" si="1"/>
        <v>146.37799999999999</v>
      </c>
      <c r="I10" s="1069">
        <f t="shared" si="1"/>
        <v>459</v>
      </c>
      <c r="J10" s="1363"/>
      <c r="K10" s="1382"/>
      <c r="L10" s="1382"/>
      <c r="M10" s="1382"/>
      <c r="N10" s="1382">
        <f>N11-N12</f>
        <v>0</v>
      </c>
      <c r="O10" s="1354"/>
      <c r="P10" s="1354"/>
      <c r="Q10" s="1354"/>
      <c r="R10" s="1354"/>
      <c r="S10" s="1354"/>
      <c r="Z10" s="1354"/>
      <c r="AA10" s="1354"/>
      <c r="AB10" s="1354"/>
      <c r="AC10" s="1354"/>
      <c r="AD10" s="1354"/>
      <c r="AE10" s="1354"/>
      <c r="AF10" s="1354"/>
    </row>
    <row r="11" spans="1:58" ht="13" customHeight="1" x14ac:dyDescent="0.15">
      <c r="A11" s="10" t="s">
        <v>213</v>
      </c>
      <c r="B11" s="17"/>
      <c r="C11" s="20" t="s">
        <v>715</v>
      </c>
      <c r="D11" s="1072"/>
      <c r="E11" s="1073"/>
      <c r="F11" s="1073"/>
      <c r="G11" s="1073">
        <v>1.466</v>
      </c>
      <c r="H11" s="1073">
        <v>146.37799999999999</v>
      </c>
      <c r="I11" s="1073">
        <f>+'Saisie actif'!Q11</f>
        <v>459</v>
      </c>
      <c r="J11" s="1366"/>
      <c r="K11" s="1381"/>
      <c r="L11" s="1381"/>
      <c r="M11" s="1381"/>
      <c r="N11" s="1381">
        <f>+'Saisie actif'!V11</f>
        <v>0</v>
      </c>
      <c r="O11" s="1354"/>
      <c r="P11" s="1354"/>
      <c r="Q11" s="1354"/>
      <c r="R11" s="1354"/>
      <c r="S11" s="1354"/>
      <c r="Z11" s="1354"/>
      <c r="AA11" s="1354"/>
      <c r="AB11" s="1354"/>
      <c r="AC11" s="1354"/>
      <c r="AD11" s="1354"/>
      <c r="AE11" s="1354"/>
      <c r="AF11" s="1354"/>
    </row>
    <row r="12" spans="1:58" ht="13" customHeight="1" thickBot="1" x14ac:dyDescent="0.2">
      <c r="B12" s="17"/>
      <c r="C12" s="17" t="s">
        <v>716</v>
      </c>
      <c r="D12" s="1074"/>
      <c r="E12" s="1075"/>
      <c r="F12" s="1075"/>
      <c r="G12" s="1075"/>
      <c r="H12" s="1075"/>
      <c r="I12" s="1075"/>
      <c r="J12" s="1363"/>
      <c r="K12" s="1381"/>
      <c r="L12" s="1381"/>
      <c r="M12" s="1381"/>
      <c r="N12" s="1381"/>
      <c r="O12" s="1354"/>
      <c r="P12" s="1354"/>
      <c r="Q12" s="1354"/>
      <c r="R12" s="1354"/>
      <c r="S12" s="1354"/>
      <c r="Z12" s="1354"/>
      <c r="AA12" s="1354"/>
      <c r="AB12" s="1354"/>
      <c r="AC12" s="1354"/>
      <c r="AD12" s="1354"/>
      <c r="AE12" s="1354"/>
      <c r="AF12" s="1354"/>
    </row>
    <row r="13" spans="1:58" ht="13" customHeight="1" thickBot="1" x14ac:dyDescent="0.2">
      <c r="B13" s="14" t="s">
        <v>717</v>
      </c>
      <c r="C13" s="15"/>
      <c r="D13" s="1068">
        <f t="shared" ref="D13:I13" si="2">D14</f>
        <v>0</v>
      </c>
      <c r="E13" s="1069">
        <f t="shared" si="2"/>
        <v>88086.06</v>
      </c>
      <c r="F13" s="1069">
        <f t="shared" si="2"/>
        <v>149479.01798</v>
      </c>
      <c r="G13" s="1069">
        <f t="shared" si="2"/>
        <v>161659.93</v>
      </c>
      <c r="H13" s="1069">
        <f t="shared" si="2"/>
        <v>186870.25400000002</v>
      </c>
      <c r="I13" s="1069">
        <f t="shared" si="2"/>
        <v>77268.03</v>
      </c>
      <c r="J13" s="1365"/>
      <c r="K13" s="1418"/>
      <c r="L13" s="1418"/>
      <c r="M13" s="1418"/>
      <c r="N13" s="1380">
        <f>N14</f>
        <v>0</v>
      </c>
      <c r="O13" s="1354"/>
      <c r="P13" s="1354"/>
      <c r="Q13" s="1354"/>
      <c r="R13" s="1354"/>
      <c r="S13" s="1354"/>
      <c r="Z13" s="1354"/>
      <c r="AA13" s="1354"/>
      <c r="AB13" s="1354"/>
      <c r="AC13" s="1354"/>
      <c r="AD13" s="1354"/>
      <c r="AE13" s="1354"/>
      <c r="AF13" s="1354"/>
    </row>
    <row r="14" spans="1:58" ht="13" customHeight="1" thickBot="1" x14ac:dyDescent="0.2">
      <c r="A14" s="10" t="s">
        <v>214</v>
      </c>
      <c r="B14" s="17"/>
      <c r="C14" s="17" t="s">
        <v>718</v>
      </c>
      <c r="D14" s="1077"/>
      <c r="E14" s="1077">
        <f>9696+272.509+62035.547+4500+11543.704+38.3</f>
        <v>88086.06</v>
      </c>
      <c r="F14" s="1077">
        <f>9696+139709.67525+73.34273</f>
        <v>149479.01798</v>
      </c>
      <c r="G14" s="1077">
        <f>9696+272.509+125326.285+4500+21791.794+73.342</f>
        <v>161659.93</v>
      </c>
      <c r="H14" s="1350">
        <v>186870.25400000002</v>
      </c>
      <c r="I14" s="1350">
        <f>+'Saisie actif'!P12+'Saisie actif'!P17</f>
        <v>77268.03</v>
      </c>
      <c r="J14" s="1363"/>
      <c r="K14" s="1381"/>
      <c r="L14" s="1381"/>
      <c r="M14" s="1381"/>
      <c r="N14" s="1381">
        <f>+'Saisie actif'!U12+'Saisie actif'!U17</f>
        <v>0</v>
      </c>
      <c r="O14" s="1354"/>
      <c r="P14" s="1354"/>
      <c r="Q14" s="1354"/>
      <c r="R14" s="1354"/>
      <c r="S14" s="1354"/>
      <c r="Z14" s="1354"/>
      <c r="AA14" s="1354"/>
      <c r="AB14" s="1354"/>
      <c r="AC14" s="1354"/>
      <c r="AD14" s="1354"/>
      <c r="AE14" s="1354"/>
      <c r="AF14" s="1354"/>
    </row>
    <row r="15" spans="1:58" ht="13" customHeight="1" thickBot="1" x14ac:dyDescent="0.2">
      <c r="B15" s="21" t="s">
        <v>719</v>
      </c>
      <c r="C15" s="22"/>
      <c r="D15" s="1078">
        <f t="shared" ref="D15:I15" si="3">+D16</f>
        <v>0</v>
      </c>
      <c r="E15" s="1078">
        <f t="shared" si="3"/>
        <v>23976.664000000001</v>
      </c>
      <c r="F15" s="1078">
        <f t="shared" si="3"/>
        <v>43340.141960000001</v>
      </c>
      <c r="G15" s="1078">
        <f t="shared" si="3"/>
        <v>64226.37</v>
      </c>
      <c r="H15" s="1078">
        <f t="shared" si="3"/>
        <v>91639.34599999999</v>
      </c>
      <c r="I15" s="1078">
        <f t="shared" si="3"/>
        <v>28619.164000000001</v>
      </c>
      <c r="J15" s="1363"/>
      <c r="K15" s="1382"/>
      <c r="L15" s="1382"/>
      <c r="M15" s="1382"/>
      <c r="N15" s="1382">
        <f>+N16</f>
        <v>0</v>
      </c>
      <c r="O15" s="1354"/>
      <c r="P15" s="1354"/>
      <c r="Q15" s="1354"/>
      <c r="R15" s="1354"/>
      <c r="S15" s="1354"/>
      <c r="Z15" s="1354"/>
      <c r="AA15" s="1354"/>
      <c r="AB15" s="1354"/>
      <c r="AC15" s="1354"/>
      <c r="AD15" s="1354"/>
      <c r="AE15" s="1354"/>
      <c r="AF15" s="1354"/>
    </row>
    <row r="16" spans="1:58" ht="13" customHeight="1" thickBot="1" x14ac:dyDescent="0.2">
      <c r="A16" s="10" t="s">
        <v>215</v>
      </c>
      <c r="B16" s="17"/>
      <c r="C16" s="20" t="s">
        <v>720</v>
      </c>
      <c r="D16" s="1073"/>
      <c r="E16" s="1073">
        <f>271.374+14103.339+4440+5142.255+19.696</f>
        <v>23976.664000000001</v>
      </c>
      <c r="F16" s="1073">
        <f>43312.07271+28.06925</f>
        <v>43340.141960000001</v>
      </c>
      <c r="G16" s="1073">
        <f>272.509+50210.372+4500+9204.419+39.07</f>
        <v>64226.37</v>
      </c>
      <c r="H16" s="1073">
        <v>91639.34599999999</v>
      </c>
      <c r="I16" s="1073">
        <f>+'Saisie actif'!Q12+'Saisie actif'!Q17</f>
        <v>28619.164000000001</v>
      </c>
      <c r="J16" s="1419">
        <f>'Saisie actif'!$E$14</f>
        <v>925</v>
      </c>
      <c r="K16" s="1381"/>
      <c r="L16" s="1381"/>
      <c r="M16" s="1381"/>
      <c r="N16" s="1381">
        <f>+'Saisie actif'!V12+'Saisie actif'!V17</f>
        <v>0</v>
      </c>
      <c r="O16" s="1354"/>
      <c r="P16" s="1354"/>
      <c r="Q16" s="1354"/>
      <c r="R16" s="1354"/>
      <c r="S16" s="1354"/>
      <c r="Z16" s="1354"/>
      <c r="AA16" s="1354"/>
      <c r="AB16" s="1354"/>
      <c r="AC16" s="1354"/>
      <c r="AD16" s="1354"/>
      <c r="AE16" s="1354"/>
      <c r="AF16" s="1354"/>
    </row>
    <row r="17" spans="1:32" ht="13" customHeight="1" thickBot="1" x14ac:dyDescent="0.2">
      <c r="B17" s="21" t="s">
        <v>721</v>
      </c>
      <c r="C17" s="23"/>
      <c r="D17" s="1078">
        <f>D18-D19</f>
        <v>0</v>
      </c>
      <c r="E17" s="1078">
        <f>E18-E19</f>
        <v>0</v>
      </c>
      <c r="F17" s="1078">
        <f>F18-F19</f>
        <v>0</v>
      </c>
      <c r="G17" s="1078">
        <f>G18-G19</f>
        <v>0</v>
      </c>
      <c r="H17" s="1078">
        <v>0</v>
      </c>
      <c r="I17" s="1078">
        <f>I18-I19</f>
        <v>0</v>
      </c>
      <c r="J17" s="1363"/>
      <c r="K17" s="1382"/>
      <c r="L17" s="1382"/>
      <c r="M17" s="1382"/>
      <c r="N17" s="1382">
        <f>N18-N19</f>
        <v>0</v>
      </c>
      <c r="O17" s="1354"/>
      <c r="P17" s="1354"/>
      <c r="Q17" s="1354"/>
      <c r="R17" s="1354"/>
      <c r="S17" s="1354"/>
      <c r="Z17" s="1354"/>
      <c r="AA17" s="1354"/>
      <c r="AB17" s="1354"/>
      <c r="AC17" s="1354"/>
      <c r="AD17" s="1354"/>
      <c r="AE17" s="1354"/>
      <c r="AF17" s="1354"/>
    </row>
    <row r="18" spans="1:32" ht="13" customHeight="1" x14ac:dyDescent="0.15">
      <c r="B18" s="24"/>
      <c r="C18" s="24" t="s">
        <v>722</v>
      </c>
      <c r="D18" s="1080"/>
      <c r="E18" s="1073"/>
      <c r="F18" s="1073"/>
      <c r="G18" s="1073"/>
      <c r="H18" s="1073"/>
      <c r="I18" s="1073">
        <f>+'Saisie actif'!P10</f>
        <v>0</v>
      </c>
      <c r="J18" s="1363"/>
      <c r="K18" s="1381"/>
      <c r="L18" s="1381"/>
      <c r="M18" s="1381"/>
      <c r="N18" s="1381">
        <f>+'Saisie actif'!U10</f>
        <v>0</v>
      </c>
      <c r="O18" s="1354"/>
      <c r="P18" s="1354"/>
      <c r="Q18" s="1354"/>
      <c r="R18" s="1354"/>
      <c r="S18" s="1354"/>
      <c r="Z18" s="1354"/>
      <c r="AA18" s="1354"/>
      <c r="AB18" s="1354"/>
      <c r="AC18" s="1354"/>
      <c r="AD18" s="1354"/>
      <c r="AE18" s="1354"/>
      <c r="AF18" s="1354"/>
    </row>
    <row r="19" spans="1:32" ht="13" customHeight="1" thickBot="1" x14ac:dyDescent="0.2">
      <c r="B19" s="24"/>
      <c r="C19" s="24" t="s">
        <v>723</v>
      </c>
      <c r="D19" s="1074"/>
      <c r="E19" s="1075"/>
      <c r="F19" s="1075"/>
      <c r="G19" s="1075"/>
      <c r="H19" s="1075"/>
      <c r="I19" s="1075">
        <f>+'Saisie actif'!Q10</f>
        <v>0</v>
      </c>
      <c r="J19" s="1363"/>
      <c r="K19" s="1381"/>
      <c r="L19" s="1381"/>
      <c r="M19" s="1381"/>
      <c r="N19" s="1381">
        <f>+'Saisie actif'!V10</f>
        <v>0</v>
      </c>
      <c r="O19" s="1354"/>
      <c r="P19" s="1354"/>
      <c r="Q19" s="1354"/>
      <c r="R19" s="1354"/>
      <c r="S19" s="1354"/>
      <c r="Z19" s="1354"/>
      <c r="AA19" s="1354"/>
      <c r="AB19" s="1354"/>
      <c r="AC19" s="1354"/>
      <c r="AD19" s="1354"/>
      <c r="AE19" s="1354"/>
      <c r="AF19" s="1354"/>
    </row>
    <row r="20" spans="1:32" ht="13" customHeight="1" thickBot="1" x14ac:dyDescent="0.2">
      <c r="B20" s="21" t="s">
        <v>724</v>
      </c>
      <c r="C20" s="22"/>
      <c r="D20" s="1078">
        <f t="shared" ref="D20:I20" si="4">D21+D22+D23+D24+D25+D26-D27-D28-D29-D30-D31-D32</f>
        <v>0</v>
      </c>
      <c r="E20" s="1078">
        <f t="shared" si="4"/>
        <v>51512.928</v>
      </c>
      <c r="F20" s="1078">
        <f t="shared" si="4"/>
        <v>51512.927649999998</v>
      </c>
      <c r="G20" s="1078">
        <f t="shared" si="4"/>
        <v>3813.9920000000002</v>
      </c>
      <c r="H20" s="1078">
        <f t="shared" si="4"/>
        <v>1847</v>
      </c>
      <c r="I20" s="1078">
        <f t="shared" si="4"/>
        <v>0</v>
      </c>
      <c r="J20" s="1363"/>
      <c r="K20" s="1382"/>
      <c r="L20" s="1382"/>
      <c r="M20" s="1382"/>
      <c r="N20" s="1382">
        <f>N21-N22</f>
        <v>0</v>
      </c>
      <c r="O20" s="1354"/>
      <c r="P20" s="1354"/>
      <c r="Q20" s="1354"/>
      <c r="R20" s="1354"/>
      <c r="S20" s="1354"/>
      <c r="Z20" s="1354"/>
      <c r="AA20" s="1354"/>
      <c r="AB20" s="1354"/>
      <c r="AC20" s="1354"/>
      <c r="AD20" s="1354"/>
      <c r="AE20" s="1354"/>
      <c r="AF20" s="1354"/>
    </row>
    <row r="21" spans="1:32" ht="13" customHeight="1" x14ac:dyDescent="0.15">
      <c r="A21" s="10" t="s">
        <v>216</v>
      </c>
      <c r="B21" s="17" t="s">
        <v>725</v>
      </c>
      <c r="C21" s="17" t="s">
        <v>726</v>
      </c>
      <c r="D21" s="1073"/>
      <c r="E21" s="1073"/>
      <c r="F21" s="1073"/>
      <c r="G21" s="1073"/>
      <c r="H21" s="1073"/>
      <c r="I21" s="1073"/>
      <c r="J21" s="1363"/>
      <c r="K21" s="1381"/>
      <c r="L21" s="1381"/>
      <c r="M21" s="1381"/>
      <c r="N21" s="1381"/>
      <c r="O21" s="1354"/>
      <c r="P21" s="1354"/>
      <c r="Q21" s="1354"/>
      <c r="R21" s="1354"/>
      <c r="S21" s="1354"/>
      <c r="Z21" s="1354"/>
      <c r="AA21" s="1354"/>
      <c r="AB21" s="1354"/>
      <c r="AC21" s="1354"/>
      <c r="AD21" s="1354"/>
      <c r="AE21" s="1354"/>
      <c r="AF21" s="1354"/>
    </row>
    <row r="22" spans="1:32" ht="13" customHeight="1" x14ac:dyDescent="0.15">
      <c r="B22" s="17"/>
      <c r="C22" s="17" t="s">
        <v>727</v>
      </c>
      <c r="D22" s="1081"/>
      <c r="E22" s="1071"/>
      <c r="F22" s="1071"/>
      <c r="G22" s="1071"/>
      <c r="H22" s="1071"/>
      <c r="I22" s="1071">
        <f>+'Saisie actif'!P19</f>
        <v>0</v>
      </c>
      <c r="J22" s="1363"/>
      <c r="K22" s="1381"/>
      <c r="L22" s="1381"/>
      <c r="M22" s="1381"/>
      <c r="N22" s="1381">
        <f>+'Saisie actif'!U19</f>
        <v>0</v>
      </c>
      <c r="O22" s="1354"/>
      <c r="P22" s="1354"/>
      <c r="Q22" s="1354"/>
      <c r="R22" s="1354"/>
      <c r="S22" s="1354"/>
      <c r="Z22" s="1354"/>
      <c r="AA22" s="1354"/>
      <c r="AB22" s="1354"/>
      <c r="AC22" s="1354"/>
      <c r="AD22" s="1354"/>
      <c r="AE22" s="1354"/>
      <c r="AF22" s="1354"/>
    </row>
    <row r="23" spans="1:32" ht="13" customHeight="1" x14ac:dyDescent="0.15">
      <c r="B23" s="17"/>
      <c r="C23" s="17" t="s">
        <v>728</v>
      </c>
      <c r="D23" s="1070"/>
      <c r="E23" s="1071"/>
      <c r="F23" s="1071"/>
      <c r="G23" s="1071"/>
      <c r="H23" s="1071"/>
      <c r="I23" s="1071"/>
      <c r="J23" s="1363"/>
      <c r="K23" s="1381"/>
      <c r="L23" s="1381"/>
      <c r="M23" s="1381"/>
      <c r="N23" s="1381"/>
      <c r="O23" s="1354"/>
      <c r="P23" s="1354"/>
      <c r="Q23" s="1354"/>
      <c r="R23" s="1354"/>
      <c r="S23" s="1354"/>
      <c r="Z23" s="1354"/>
      <c r="AA23" s="1354"/>
      <c r="AB23" s="1354"/>
      <c r="AC23" s="1354"/>
      <c r="AD23" s="1354"/>
      <c r="AE23" s="1354"/>
      <c r="AF23" s="1354"/>
    </row>
    <row r="24" spans="1:32" ht="13" customHeight="1" x14ac:dyDescent="0.15">
      <c r="A24" s="10" t="s">
        <v>217</v>
      </c>
      <c r="B24" s="17"/>
      <c r="C24" s="17" t="s">
        <v>729</v>
      </c>
      <c r="D24" s="1070"/>
      <c r="E24" s="1071"/>
      <c r="F24" s="1071"/>
      <c r="G24" s="1071"/>
      <c r="I24" s="63">
        <f>+'Saisie actif'!P21</f>
        <v>0</v>
      </c>
      <c r="J24" s="1363"/>
      <c r="K24" s="1381"/>
      <c r="L24" s="1381"/>
      <c r="M24" s="1381"/>
      <c r="N24" s="1381">
        <f>+'Saisie actif'!U21</f>
        <v>0</v>
      </c>
      <c r="O24" s="1354"/>
      <c r="P24" s="1354"/>
      <c r="Q24" s="1354"/>
      <c r="R24" s="1354"/>
      <c r="S24" s="1354"/>
      <c r="Z24" s="1354"/>
      <c r="AA24" s="1354"/>
      <c r="AB24" s="1354"/>
      <c r="AC24" s="1354"/>
      <c r="AD24" s="1354"/>
      <c r="AE24" s="1354"/>
      <c r="AF24" s="1354"/>
    </row>
    <row r="25" spans="1:32" ht="13" customHeight="1" x14ac:dyDescent="0.15">
      <c r="A25" s="10" t="s">
        <v>218</v>
      </c>
      <c r="B25" s="17"/>
      <c r="C25" s="17" t="s">
        <v>730</v>
      </c>
      <c r="D25" s="1070"/>
      <c r="E25" s="1071"/>
      <c r="F25" s="1071"/>
      <c r="G25" s="1071"/>
      <c r="H25" s="1071">
        <v>1847</v>
      </c>
      <c r="I25" s="1071">
        <f>+'Saisie actif'!P22</f>
        <v>0</v>
      </c>
      <c r="J25" s="1363"/>
      <c r="K25" s="1381"/>
      <c r="L25" s="1381"/>
      <c r="M25" s="1381"/>
      <c r="N25" s="1381">
        <f>+'Saisie actif'!U22</f>
        <v>0</v>
      </c>
      <c r="O25" s="1354"/>
      <c r="P25" s="1354"/>
      <c r="Q25" s="1354"/>
      <c r="R25" s="1354"/>
      <c r="S25" s="1354"/>
      <c r="Z25" s="1354"/>
      <c r="AA25" s="1354"/>
      <c r="AB25" s="1354"/>
      <c r="AC25" s="1354"/>
      <c r="AD25" s="1354"/>
      <c r="AE25" s="1354"/>
      <c r="AF25" s="1354"/>
    </row>
    <row r="26" spans="1:32" ht="13" customHeight="1" x14ac:dyDescent="0.15">
      <c r="A26" s="10" t="s">
        <v>220</v>
      </c>
      <c r="B26" s="17"/>
      <c r="C26" s="17" t="s">
        <v>731</v>
      </c>
      <c r="D26" s="1071"/>
      <c r="E26" s="1071">
        <v>51512.928</v>
      </c>
      <c r="F26" s="1071">
        <v>51512.927649999998</v>
      </c>
      <c r="G26" s="1071">
        <f>3813.992</f>
        <v>3813.9920000000002</v>
      </c>
      <c r="H26" s="1071"/>
      <c r="I26" s="1071">
        <f>+'Saisie actif'!P20+'Saisie actif'!P23</f>
        <v>0</v>
      </c>
      <c r="J26" s="1363"/>
      <c r="K26" s="1381"/>
      <c r="L26" s="1381"/>
      <c r="M26" s="1381"/>
      <c r="N26" s="1381">
        <f>+'Saisie actif'!U20+'Saisie actif'!U23</f>
        <v>0</v>
      </c>
      <c r="O26" s="1354"/>
      <c r="P26" s="1354"/>
      <c r="Q26" s="1354"/>
      <c r="R26" s="1354"/>
      <c r="S26" s="1354"/>
      <c r="Z26" s="1354"/>
      <c r="AA26" s="1354"/>
      <c r="AB26" s="1354"/>
      <c r="AC26" s="1354"/>
      <c r="AD26" s="1354"/>
      <c r="AE26" s="1354"/>
      <c r="AF26" s="1354"/>
    </row>
    <row r="27" spans="1:32" ht="13" customHeight="1" x14ac:dyDescent="0.15">
      <c r="A27" s="10" t="s">
        <v>223</v>
      </c>
      <c r="B27" s="17" t="s">
        <v>732</v>
      </c>
      <c r="C27" s="17" t="s">
        <v>733</v>
      </c>
      <c r="D27" s="1070"/>
      <c r="E27" s="1071"/>
      <c r="F27" s="1071"/>
      <c r="G27" s="1071"/>
      <c r="H27" s="1071"/>
      <c r="I27" s="1071"/>
      <c r="J27" s="1363"/>
      <c r="K27" s="1381"/>
      <c r="L27" s="1381"/>
      <c r="M27" s="1381"/>
      <c r="N27" s="1381"/>
      <c r="O27" s="1354"/>
      <c r="P27" s="1354"/>
      <c r="Q27" s="1354"/>
      <c r="R27" s="1354"/>
      <c r="S27" s="1354"/>
      <c r="Z27" s="1354"/>
      <c r="AA27" s="1354"/>
      <c r="AB27" s="1354"/>
      <c r="AC27" s="1354"/>
      <c r="AD27" s="1354"/>
      <c r="AE27" s="1354"/>
      <c r="AF27" s="1354"/>
    </row>
    <row r="28" spans="1:32" ht="13" customHeight="1" x14ac:dyDescent="0.15">
      <c r="B28" s="17"/>
      <c r="C28" s="20" t="s">
        <v>734</v>
      </c>
      <c r="D28" s="1082"/>
      <c r="E28" s="1071"/>
      <c r="F28" s="1071"/>
      <c r="G28" s="1071"/>
      <c r="H28" s="1071"/>
      <c r="I28" s="1071">
        <f>+'Saisie actif'!Q19</f>
        <v>0</v>
      </c>
      <c r="J28" s="1363"/>
      <c r="K28" s="1381"/>
      <c r="L28" s="1381"/>
      <c r="M28" s="1381"/>
      <c r="N28" s="1381">
        <f>+'Saisie actif'!V19</f>
        <v>0</v>
      </c>
      <c r="O28" s="1354"/>
      <c r="P28" s="1354"/>
      <c r="Q28" s="1354"/>
      <c r="R28" s="1354"/>
      <c r="S28" s="1354"/>
      <c r="Z28" s="1354"/>
      <c r="AA28" s="1354"/>
      <c r="AB28" s="1354"/>
      <c r="AC28" s="1354"/>
      <c r="AD28" s="1354"/>
      <c r="AE28" s="1354"/>
      <c r="AF28" s="1354"/>
    </row>
    <row r="29" spans="1:32" ht="13" customHeight="1" x14ac:dyDescent="0.15">
      <c r="B29" s="17"/>
      <c r="C29" s="17" t="s">
        <v>735</v>
      </c>
      <c r="D29" s="1070"/>
      <c r="E29" s="1071"/>
      <c r="F29" s="1071"/>
      <c r="G29" s="1071"/>
      <c r="H29" s="1071"/>
      <c r="I29" s="1071"/>
      <c r="J29" s="1363"/>
      <c r="K29" s="1381"/>
      <c r="L29" s="1381"/>
      <c r="M29" s="1381"/>
      <c r="N29" s="1381"/>
      <c r="O29" s="1354"/>
      <c r="P29" s="1354"/>
      <c r="Q29" s="1354"/>
      <c r="R29" s="1354"/>
      <c r="S29" s="1354"/>
      <c r="Z29" s="1354"/>
      <c r="AA29" s="1354"/>
      <c r="AB29" s="1354"/>
      <c r="AC29" s="1354"/>
      <c r="AD29" s="1354"/>
      <c r="AE29" s="1354"/>
      <c r="AF29" s="1354"/>
    </row>
    <row r="30" spans="1:32" ht="13" customHeight="1" x14ac:dyDescent="0.15">
      <c r="A30" s="10" t="s">
        <v>224</v>
      </c>
      <c r="B30" s="17"/>
      <c r="C30" s="17" t="s">
        <v>736</v>
      </c>
      <c r="D30" s="1070"/>
      <c r="E30" s="1071"/>
      <c r="F30" s="1071"/>
      <c r="G30" s="1071"/>
      <c r="H30" s="1071"/>
      <c r="I30" s="1071">
        <f>+'Saisie actif'!Q21</f>
        <v>0</v>
      </c>
      <c r="J30" s="1363"/>
      <c r="K30" s="1381"/>
      <c r="L30" s="1381"/>
      <c r="M30" s="1381"/>
      <c r="N30" s="1381">
        <f>+'Saisie actif'!V21</f>
        <v>0</v>
      </c>
      <c r="O30" s="1354"/>
      <c r="P30" s="1354"/>
      <c r="Q30" s="1354"/>
      <c r="R30" s="1354"/>
      <c r="S30" s="1354"/>
      <c r="Z30" s="1354"/>
      <c r="AA30" s="1354"/>
      <c r="AB30" s="1354"/>
      <c r="AC30" s="1354"/>
      <c r="AD30" s="1354"/>
      <c r="AE30" s="1354"/>
      <c r="AF30" s="1354"/>
    </row>
    <row r="31" spans="1:32" ht="13" customHeight="1" x14ac:dyDescent="0.15">
      <c r="A31" s="10" t="s">
        <v>221</v>
      </c>
      <c r="B31" s="17"/>
      <c r="C31" s="17" t="s">
        <v>737</v>
      </c>
      <c r="D31" s="1070"/>
      <c r="E31" s="1071"/>
      <c r="F31" s="1071"/>
      <c r="G31" s="1071"/>
      <c r="H31" s="1071"/>
      <c r="I31" s="1071">
        <f>+'Saisie actif'!Q22</f>
        <v>0</v>
      </c>
      <c r="J31" s="1363"/>
      <c r="K31" s="1381"/>
      <c r="L31" s="1381"/>
      <c r="M31" s="1381"/>
      <c r="N31" s="1381">
        <f>+'Saisie actif'!V22</f>
        <v>0</v>
      </c>
      <c r="O31" s="1354"/>
      <c r="P31" s="1354"/>
      <c r="Q31" s="1354"/>
      <c r="R31" s="1354"/>
      <c r="S31" s="1354"/>
      <c r="Z31" s="1354"/>
      <c r="AA31" s="1354"/>
      <c r="AB31" s="1354"/>
      <c r="AC31" s="1354"/>
      <c r="AD31" s="1354"/>
      <c r="AE31" s="1354"/>
      <c r="AF31" s="1354"/>
    </row>
    <row r="32" spans="1:32" ht="13" customHeight="1" thickBot="1" x14ac:dyDescent="0.2">
      <c r="A32" s="10" t="s">
        <v>222</v>
      </c>
      <c r="B32" s="17"/>
      <c r="C32" s="17" t="s">
        <v>738</v>
      </c>
      <c r="D32" s="1075"/>
      <c r="E32" s="1075"/>
      <c r="F32" s="1075"/>
      <c r="G32" s="1075"/>
      <c r="H32" s="1075"/>
      <c r="I32" s="1075">
        <f>+'Saisie actif'!Q20+'Saisie actif'!Q23</f>
        <v>0</v>
      </c>
      <c r="J32" s="1363"/>
      <c r="K32" s="1381"/>
      <c r="L32" s="1381"/>
      <c r="M32" s="1381"/>
      <c r="N32" s="1381">
        <f>+'Saisie actif'!V20+'Saisie actif'!V23</f>
        <v>0</v>
      </c>
      <c r="O32" s="1354"/>
      <c r="P32" s="1354"/>
      <c r="Q32" s="1354"/>
      <c r="R32" s="1354"/>
      <c r="S32" s="1354"/>
      <c r="Z32" s="1354"/>
      <c r="AA32" s="1354"/>
      <c r="AB32" s="1354"/>
      <c r="AC32" s="1354"/>
      <c r="AD32" s="1354"/>
      <c r="AE32" s="1354"/>
      <c r="AF32" s="1354"/>
    </row>
    <row r="33" spans="1:32" ht="13" customHeight="1" thickBot="1" x14ac:dyDescent="0.2">
      <c r="B33" s="21" t="s">
        <v>739</v>
      </c>
      <c r="C33" s="23"/>
      <c r="D33" s="1078">
        <f>D34+D35-D36</f>
        <v>0</v>
      </c>
      <c r="E33" s="1078">
        <f>E34+E35-E36</f>
        <v>0</v>
      </c>
      <c r="F33" s="1078">
        <f>F34+F35-F36</f>
        <v>0</v>
      </c>
      <c r="G33" s="1078">
        <f>G34+G35-G36</f>
        <v>421.39299999999997</v>
      </c>
      <c r="H33" s="1078">
        <v>0</v>
      </c>
      <c r="I33" s="1078">
        <f>I34+I35-I36</f>
        <v>0</v>
      </c>
      <c r="J33" s="1363"/>
      <c r="K33" s="1382"/>
      <c r="L33" s="1382"/>
      <c r="M33" s="1382"/>
      <c r="N33" s="1382">
        <f>N34+N35-N36</f>
        <v>0</v>
      </c>
      <c r="O33" s="1354"/>
      <c r="P33" s="1354"/>
      <c r="Q33" s="1354"/>
      <c r="R33" s="1354"/>
      <c r="S33" s="1354"/>
      <c r="Z33" s="1354"/>
      <c r="AA33" s="1354"/>
      <c r="AB33" s="1354"/>
      <c r="AC33" s="1354"/>
      <c r="AD33" s="1354"/>
      <c r="AE33" s="1354"/>
      <c r="AF33" s="1354"/>
    </row>
    <row r="34" spans="1:32" ht="13" customHeight="1" x14ac:dyDescent="0.15">
      <c r="A34" s="10" t="s">
        <v>219</v>
      </c>
      <c r="B34" s="17" t="s">
        <v>725</v>
      </c>
      <c r="C34" s="20" t="s">
        <v>740</v>
      </c>
      <c r="D34" s="1080"/>
      <c r="E34" s="1073"/>
      <c r="F34" s="1073"/>
      <c r="G34" s="1073"/>
      <c r="H34" s="1073"/>
      <c r="I34" s="1073"/>
      <c r="J34" s="1363"/>
      <c r="K34" s="1381"/>
      <c r="L34" s="1381"/>
      <c r="M34" s="1381"/>
      <c r="N34" s="1381"/>
      <c r="O34" s="1353"/>
      <c r="P34" s="1353"/>
      <c r="Q34" s="1353"/>
      <c r="R34" s="1353"/>
      <c r="S34" s="1353"/>
      <c r="Z34" s="1354"/>
      <c r="AA34" s="1354"/>
      <c r="AB34" s="1354"/>
      <c r="AC34" s="1354"/>
      <c r="AD34" s="1354"/>
      <c r="AE34" s="1354"/>
      <c r="AF34" s="1354"/>
    </row>
    <row r="35" spans="1:32" ht="13" customHeight="1" x14ac:dyDescent="0.15">
      <c r="A35" s="10" t="s">
        <v>242</v>
      </c>
      <c r="B35" s="17"/>
      <c r="C35" s="17" t="s">
        <v>741</v>
      </c>
      <c r="D35" s="1070"/>
      <c r="E35" s="1071"/>
      <c r="F35" s="1071"/>
      <c r="G35" s="1071">
        <v>421.39299999999997</v>
      </c>
      <c r="H35" s="1071"/>
      <c r="I35" s="1071"/>
      <c r="J35" s="1363" t="s">
        <v>862</v>
      </c>
      <c r="K35" s="1381"/>
      <c r="L35" s="1381"/>
      <c r="M35" s="1381"/>
      <c r="N35" s="1381"/>
      <c r="O35" s="1353"/>
      <c r="P35" s="1353"/>
      <c r="Q35" s="1353"/>
      <c r="R35" s="1353"/>
      <c r="S35" s="1353"/>
      <c r="Z35" s="1354"/>
      <c r="AA35" s="1354"/>
      <c r="AB35" s="1354"/>
      <c r="AC35" s="1354"/>
      <c r="AD35" s="1354"/>
      <c r="AE35" s="1354"/>
      <c r="AF35" s="1354"/>
    </row>
    <row r="36" spans="1:32" ht="27" customHeight="1" thickBot="1" x14ac:dyDescent="0.2">
      <c r="A36" s="10" t="s">
        <v>226</v>
      </c>
      <c r="B36" s="25" t="s">
        <v>732</v>
      </c>
      <c r="C36" s="26" t="s">
        <v>742</v>
      </c>
      <c r="D36" s="1083"/>
      <c r="E36" s="1075"/>
      <c r="F36" s="1346"/>
      <c r="G36" s="1346"/>
      <c r="H36" s="1075"/>
      <c r="I36" s="1075"/>
      <c r="J36" s="1363"/>
      <c r="K36" s="1381"/>
      <c r="L36" s="1381"/>
      <c r="M36" s="1381"/>
      <c r="N36" s="1381"/>
      <c r="O36" s="1353"/>
      <c r="P36" s="1353"/>
      <c r="Q36" s="1353"/>
      <c r="R36" s="1353"/>
      <c r="S36" s="1353"/>
      <c r="Z36" s="1354"/>
      <c r="AA36" s="1354"/>
      <c r="AB36" s="1354"/>
      <c r="AC36" s="1354"/>
      <c r="AD36" s="1354"/>
      <c r="AE36" s="1354"/>
      <c r="AF36" s="1354"/>
    </row>
    <row r="37" spans="1:32" ht="13" customHeight="1" thickBot="1" x14ac:dyDescent="0.2">
      <c r="B37" s="21" t="s">
        <v>743</v>
      </c>
      <c r="C37" s="23"/>
      <c r="D37" s="1078">
        <f t="shared" ref="D37:H37" si="5">D38+D39+D40+D41-D42-D43-D44-D45</f>
        <v>0</v>
      </c>
      <c r="E37" s="1078">
        <f t="shared" si="5"/>
        <v>108697.292</v>
      </c>
      <c r="F37" s="1345">
        <f t="shared" si="5"/>
        <v>262709.32185999997</v>
      </c>
      <c r="G37" s="1078">
        <f t="shared" si="5"/>
        <v>475743.80599999998</v>
      </c>
      <c r="H37" s="1078">
        <f t="shared" si="5"/>
        <v>444621.93699999998</v>
      </c>
      <c r="I37" s="1078">
        <f>I38+I39+I40+I41-I42-I43-I44-I45</f>
        <v>19958.439999999999</v>
      </c>
      <c r="J37" s="1363"/>
      <c r="K37" s="1382"/>
      <c r="L37" s="1382"/>
      <c r="M37" s="1382"/>
      <c r="N37" s="1382">
        <f>N38+N39+N40+N41-N42-N43-N44-N45</f>
        <v>0</v>
      </c>
      <c r="O37" s="1353"/>
      <c r="P37" s="1353"/>
      <c r="Q37" s="1353"/>
      <c r="R37" s="1353"/>
      <c r="S37" s="1353"/>
      <c r="Z37" s="1354"/>
      <c r="AA37" s="1354"/>
      <c r="AB37" s="1354"/>
      <c r="AC37" s="1354"/>
      <c r="AD37" s="1354"/>
      <c r="AE37" s="1354"/>
      <c r="AF37" s="1354"/>
    </row>
    <row r="38" spans="1:32" ht="13" customHeight="1" x14ac:dyDescent="0.15">
      <c r="A38" s="10" t="s">
        <v>227</v>
      </c>
      <c r="B38" s="17" t="s">
        <v>744</v>
      </c>
      <c r="C38" s="17" t="s">
        <v>745</v>
      </c>
      <c r="D38" s="1073"/>
      <c r="E38" s="1343">
        <v>108697.292</v>
      </c>
      <c r="F38" s="1071">
        <v>256279.00294999999</v>
      </c>
      <c r="G38" s="1071">
        <v>475743.80599999998</v>
      </c>
      <c r="H38" s="1344"/>
      <c r="I38" s="1344"/>
      <c r="J38" s="1363"/>
      <c r="K38" s="1381"/>
      <c r="L38" s="1381"/>
      <c r="M38" s="1381"/>
      <c r="N38" s="1381"/>
      <c r="O38" s="1353"/>
      <c r="P38" s="1353"/>
      <c r="Q38" s="1353"/>
      <c r="R38" s="1353"/>
      <c r="S38" s="1353"/>
      <c r="Z38" s="1354"/>
      <c r="AA38" s="1354"/>
      <c r="AB38" s="1354"/>
      <c r="AC38" s="1354"/>
      <c r="AD38" s="1354"/>
      <c r="AE38" s="1354"/>
      <c r="AF38" s="1354"/>
    </row>
    <row r="39" spans="1:32" ht="13" customHeight="1" x14ac:dyDescent="0.15">
      <c r="A39" s="10" t="s">
        <v>228</v>
      </c>
      <c r="B39" s="17"/>
      <c r="C39" s="17" t="s">
        <v>746</v>
      </c>
      <c r="D39" s="1071"/>
      <c r="E39" s="1071"/>
      <c r="F39" s="1071">
        <f>3416.52753+3013.79138</f>
        <v>6430.31891</v>
      </c>
      <c r="G39" s="1071"/>
      <c r="H39" s="1071">
        <v>444621.93699999998</v>
      </c>
      <c r="I39" s="1071">
        <f>+'Saisie actif'!P26</f>
        <v>19958.439999999999</v>
      </c>
      <c r="J39" s="1363"/>
      <c r="K39" s="1381"/>
      <c r="L39" s="1381"/>
      <c r="M39" s="1381"/>
      <c r="N39" s="1381">
        <f>+'Saisie actif'!U26</f>
        <v>0</v>
      </c>
      <c r="O39" s="1353"/>
      <c r="P39" s="1353"/>
      <c r="Q39" s="1353"/>
      <c r="R39" s="1353"/>
      <c r="S39" s="1353"/>
      <c r="Z39" s="1354"/>
      <c r="AA39" s="1354"/>
      <c r="AB39" s="1354"/>
      <c r="AC39" s="1354"/>
      <c r="AD39" s="1354"/>
      <c r="AE39" s="1354"/>
      <c r="AF39" s="1354"/>
    </row>
    <row r="40" spans="1:32" ht="13" customHeight="1" x14ac:dyDescent="0.15">
      <c r="A40" s="10" t="s">
        <v>233</v>
      </c>
      <c r="B40" s="17"/>
      <c r="C40" s="17" t="s">
        <v>747</v>
      </c>
      <c r="D40" s="1071"/>
      <c r="E40" s="1071"/>
      <c r="F40" s="1071"/>
      <c r="G40" s="1071"/>
      <c r="H40" s="1071"/>
      <c r="I40" s="1071"/>
      <c r="J40" s="1363"/>
      <c r="K40" s="1381"/>
      <c r="L40" s="1381"/>
      <c r="M40" s="1381"/>
      <c r="N40" s="1381"/>
      <c r="O40" s="1353"/>
      <c r="P40" s="1353"/>
      <c r="Q40" s="1353"/>
      <c r="R40" s="1353"/>
      <c r="S40" s="1353"/>
      <c r="Z40" s="1354"/>
      <c r="AA40" s="1354"/>
      <c r="AB40" s="1354"/>
      <c r="AC40" s="1354"/>
      <c r="AD40" s="1354"/>
      <c r="AE40" s="1354"/>
      <c r="AF40" s="1354"/>
    </row>
    <row r="41" spans="1:32" ht="13" customHeight="1" x14ac:dyDescent="0.15">
      <c r="A41" s="10" t="s">
        <v>229</v>
      </c>
      <c r="B41" s="17"/>
      <c r="C41" s="17" t="s">
        <v>748</v>
      </c>
      <c r="D41" s="1071"/>
      <c r="E41" s="1071"/>
      <c r="F41" s="1071"/>
      <c r="G41" s="1071"/>
      <c r="H41" s="1071"/>
      <c r="I41" s="1071"/>
      <c r="J41" s="1366"/>
      <c r="K41" s="1381"/>
      <c r="L41" s="1381"/>
      <c r="M41" s="1381"/>
      <c r="N41" s="1381"/>
      <c r="O41" s="1353"/>
      <c r="P41" s="1353"/>
      <c r="Q41" s="1353"/>
      <c r="R41" s="1353"/>
      <c r="S41" s="1353"/>
      <c r="Z41" s="1354"/>
      <c r="AA41" s="1354"/>
      <c r="AB41" s="1354"/>
      <c r="AC41" s="1354"/>
      <c r="AD41" s="1354"/>
      <c r="AE41" s="1354"/>
      <c r="AF41" s="1354"/>
    </row>
    <row r="42" spans="1:32" ht="13" customHeight="1" x14ac:dyDescent="0.15">
      <c r="A42" s="10" t="s">
        <v>230</v>
      </c>
      <c r="B42" s="17" t="s">
        <v>732</v>
      </c>
      <c r="C42" s="17" t="s">
        <v>749</v>
      </c>
      <c r="D42" s="1071"/>
      <c r="E42" s="1071"/>
      <c r="F42" s="1071"/>
      <c r="G42" s="1071"/>
      <c r="H42" s="1071"/>
      <c r="I42" s="1071"/>
      <c r="J42" s="1366"/>
      <c r="K42" s="1381"/>
      <c r="L42" s="1381"/>
      <c r="M42" s="1381"/>
      <c r="N42" s="1381"/>
      <c r="O42" s="1353"/>
      <c r="P42" s="1353"/>
      <c r="Q42" s="1353"/>
      <c r="R42" s="1353"/>
      <c r="S42" s="1353"/>
      <c r="Z42" s="1354"/>
      <c r="AA42" s="1354"/>
      <c r="AB42" s="1354"/>
      <c r="AC42" s="1354"/>
      <c r="AD42" s="1354"/>
      <c r="AE42" s="1354"/>
      <c r="AF42" s="1354"/>
    </row>
    <row r="43" spans="1:32" ht="13" customHeight="1" x14ac:dyDescent="0.15">
      <c r="A43" s="10" t="s">
        <v>231</v>
      </c>
      <c r="B43" s="17"/>
      <c r="C43" s="17" t="s">
        <v>750</v>
      </c>
      <c r="D43" s="1070"/>
      <c r="E43" s="1071"/>
      <c r="F43" s="1071"/>
      <c r="G43" s="1071"/>
      <c r="H43" s="1071"/>
      <c r="I43" s="1071">
        <f>+'Saisie actif'!Q26</f>
        <v>0</v>
      </c>
      <c r="J43" s="1363"/>
      <c r="K43" s="1381"/>
      <c r="L43" s="1381"/>
      <c r="M43" s="1381"/>
      <c r="N43" s="1381">
        <f>+'Saisie actif'!V26</f>
        <v>0</v>
      </c>
      <c r="O43" s="1353"/>
      <c r="P43" s="1353"/>
      <c r="Q43" s="1353"/>
      <c r="R43" s="1353"/>
      <c r="S43" s="1353"/>
      <c r="Z43" s="1354"/>
      <c r="AA43" s="1354"/>
      <c r="AB43" s="1354"/>
      <c r="AC43" s="1354"/>
      <c r="AD43" s="1354"/>
      <c r="AE43" s="1354"/>
      <c r="AF43" s="1354"/>
    </row>
    <row r="44" spans="1:32" ht="13" customHeight="1" x14ac:dyDescent="0.15">
      <c r="A44" s="10" t="s">
        <v>234</v>
      </c>
      <c r="B44" s="17"/>
      <c r="C44" s="17" t="s">
        <v>751</v>
      </c>
      <c r="D44" s="1070"/>
      <c r="E44" s="1071"/>
      <c r="F44" s="1071"/>
      <c r="G44" s="1071"/>
      <c r="H44" s="1071"/>
      <c r="I44" s="1071"/>
      <c r="J44" s="1363"/>
      <c r="K44" s="1381"/>
      <c r="L44" s="1381"/>
      <c r="M44" s="1381"/>
      <c r="N44" s="1381"/>
      <c r="O44" s="1353"/>
      <c r="P44" s="1353"/>
      <c r="Q44" s="1353"/>
      <c r="R44" s="1353"/>
      <c r="S44" s="1353"/>
      <c r="Z44" s="1354"/>
      <c r="AA44" s="1354"/>
      <c r="AB44" s="1354"/>
      <c r="AC44" s="1354"/>
      <c r="AD44" s="1354"/>
      <c r="AE44" s="1354"/>
      <c r="AF44" s="1354"/>
    </row>
    <row r="45" spans="1:32" ht="13" customHeight="1" thickBot="1" x14ac:dyDescent="0.2">
      <c r="A45" s="10" t="s">
        <v>232</v>
      </c>
      <c r="B45" s="17"/>
      <c r="C45" s="17" t="s">
        <v>752</v>
      </c>
      <c r="D45" s="1074"/>
      <c r="E45" s="1075"/>
      <c r="F45" s="1075"/>
      <c r="G45" s="1075"/>
      <c r="H45" s="1075"/>
      <c r="I45" s="1075"/>
      <c r="J45" s="1363"/>
      <c r="K45" s="1381"/>
      <c r="L45" s="1381"/>
      <c r="M45" s="1381"/>
      <c r="N45" s="1381"/>
      <c r="O45" s="1353"/>
      <c r="P45" s="1353"/>
      <c r="Q45" s="1353"/>
      <c r="R45" s="1353"/>
      <c r="S45" s="1353"/>
      <c r="Z45" s="1354"/>
      <c r="AA45" s="1354"/>
      <c r="AB45" s="1354"/>
      <c r="AC45" s="1354"/>
      <c r="AD45" s="1354"/>
      <c r="AE45" s="1354"/>
      <c r="AF45" s="1354"/>
    </row>
    <row r="46" spans="1:32" ht="13" customHeight="1" thickBot="1" x14ac:dyDescent="0.2">
      <c r="B46" s="21" t="s">
        <v>753</v>
      </c>
      <c r="C46" s="23"/>
      <c r="D46" s="1078">
        <f t="shared" ref="D46:I46" si="6">D47-D48</f>
        <v>0</v>
      </c>
      <c r="E46" s="1078">
        <f t="shared" si="6"/>
        <v>107718.958</v>
      </c>
      <c r="F46" s="1078">
        <f t="shared" si="6"/>
        <v>57395.549730000006</v>
      </c>
      <c r="G46" s="1078">
        <f t="shared" si="6"/>
        <v>117587.53600000001</v>
      </c>
      <c r="H46" s="1078">
        <f t="shared" si="6"/>
        <v>383709.15600000002</v>
      </c>
      <c r="I46" s="1078">
        <f t="shared" si="6"/>
        <v>1296.442</v>
      </c>
      <c r="J46" s="1363"/>
      <c r="K46" s="1382"/>
      <c r="L46" s="1382"/>
      <c r="M46" s="1382"/>
      <c r="N46" s="1382">
        <f>N47-N48</f>
        <v>0</v>
      </c>
      <c r="O46" s="1353"/>
      <c r="P46" s="1353"/>
      <c r="Q46" s="1353"/>
      <c r="R46" s="1353"/>
      <c r="S46" s="1353"/>
      <c r="Z46" s="1354"/>
      <c r="AA46" s="1354"/>
      <c r="AB46" s="1354"/>
      <c r="AC46" s="1354"/>
      <c r="AD46" s="1354"/>
      <c r="AE46" s="1354"/>
      <c r="AF46" s="1354"/>
    </row>
    <row r="47" spans="1:32" ht="13" customHeight="1" x14ac:dyDescent="0.15">
      <c r="A47" s="10" t="s">
        <v>235</v>
      </c>
      <c r="B47" s="27"/>
      <c r="C47" s="28" t="s">
        <v>754</v>
      </c>
      <c r="D47" s="1073"/>
      <c r="E47" s="1073">
        <v>109918.14</v>
      </c>
      <c r="F47" s="1073">
        <v>59594.731290000003</v>
      </c>
      <c r="G47" s="1073">
        <v>119786.717</v>
      </c>
      <c r="H47" s="1073">
        <v>385908.337</v>
      </c>
      <c r="I47" s="1073">
        <f>+'Saisie actif'!P28</f>
        <v>3495.623</v>
      </c>
      <c r="J47" s="1366"/>
      <c r="K47" s="1381"/>
      <c r="L47" s="1381"/>
      <c r="M47" s="1381"/>
      <c r="N47" s="1381">
        <f>+'Saisie actif'!U28</f>
        <v>0</v>
      </c>
      <c r="O47" s="1353"/>
      <c r="P47" s="1353"/>
      <c r="Q47" s="1353"/>
      <c r="R47" s="1353"/>
      <c r="S47" s="1353"/>
      <c r="Z47" s="1354"/>
      <c r="AA47" s="1354"/>
      <c r="AB47" s="1354"/>
      <c r="AC47" s="1354"/>
      <c r="AD47" s="1354"/>
      <c r="AE47" s="1354"/>
      <c r="AF47" s="1354"/>
    </row>
    <row r="48" spans="1:32" ht="13" customHeight="1" thickBot="1" x14ac:dyDescent="0.2">
      <c r="A48" s="10" t="s">
        <v>236</v>
      </c>
      <c r="B48" s="29"/>
      <c r="C48" s="24" t="s">
        <v>755</v>
      </c>
      <c r="D48" s="1075"/>
      <c r="E48" s="1075">
        <v>2199.1819999999998</v>
      </c>
      <c r="F48" s="1075">
        <v>2199.18156</v>
      </c>
      <c r="G48" s="1075">
        <v>2199.181</v>
      </c>
      <c r="H48" s="1075">
        <v>2199.181</v>
      </c>
      <c r="I48" s="1075">
        <v>2199.181</v>
      </c>
      <c r="J48" s="1363"/>
      <c r="K48" s="1381"/>
      <c r="L48" s="1381"/>
      <c r="M48" s="1381"/>
      <c r="N48" s="1381"/>
      <c r="O48" s="1353"/>
      <c r="P48" s="1353"/>
      <c r="Q48" s="1353"/>
      <c r="R48" s="1353"/>
      <c r="S48" s="1353"/>
      <c r="Z48" s="1354"/>
      <c r="AA48" s="1354"/>
      <c r="AB48" s="1354"/>
      <c r="AC48" s="1354"/>
      <c r="AD48" s="1354"/>
      <c r="AE48" s="1354"/>
      <c r="AF48" s="1354"/>
    </row>
    <row r="49" spans="1:32" ht="13" customHeight="1" thickBot="1" x14ac:dyDescent="0.2">
      <c r="B49" s="21" t="s">
        <v>756</v>
      </c>
      <c r="C49" s="23"/>
      <c r="D49" s="1078">
        <f t="shared" ref="D49:H49" si="7">D50+D51-D52-D53+D54+D55+D56+D57</f>
        <v>0</v>
      </c>
      <c r="E49" s="1078">
        <f t="shared" si="7"/>
        <v>15533.525</v>
      </c>
      <c r="F49" s="1078">
        <f t="shared" si="7"/>
        <v>41872.384389999999</v>
      </c>
      <c r="G49" s="1078">
        <f t="shared" si="7"/>
        <v>60028.927000000003</v>
      </c>
      <c r="H49" s="1078">
        <f t="shared" si="7"/>
        <v>78139.475999999995</v>
      </c>
      <c r="I49" s="1078">
        <f>I50+I51-I52-I53+I54+I55+I56+I57</f>
        <v>11966.525000000001</v>
      </c>
      <c r="J49" s="1363"/>
      <c r="K49" s="1382"/>
      <c r="L49" s="1382"/>
      <c r="M49" s="1382"/>
      <c r="N49" s="1382">
        <f>N50+N51-N52-N53+N54+N55+N56+N57</f>
        <v>0</v>
      </c>
      <c r="O49" s="1353"/>
      <c r="P49" s="1353"/>
      <c r="Q49" s="1353"/>
      <c r="R49" s="1353"/>
      <c r="S49" s="1353"/>
      <c r="Z49" s="1354"/>
      <c r="AA49" s="1354"/>
      <c r="AB49" s="1354"/>
      <c r="AC49" s="1354"/>
      <c r="AD49" s="1354"/>
      <c r="AE49" s="1354"/>
      <c r="AF49" s="1354"/>
    </row>
    <row r="50" spans="1:32" ht="13" customHeight="1" x14ac:dyDescent="0.15">
      <c r="A50" s="10" t="s">
        <v>237</v>
      </c>
      <c r="B50" s="17"/>
      <c r="C50" s="17" t="s">
        <v>757</v>
      </c>
      <c r="D50" s="1073"/>
      <c r="E50" s="1073"/>
      <c r="F50" s="1073">
        <v>37543.772799999999</v>
      </c>
      <c r="G50" s="1073">
        <f>1304.036+57920.086</f>
        <v>59224.122000000003</v>
      </c>
      <c r="H50" s="1073"/>
      <c r="I50" s="1073"/>
      <c r="J50" s="1363"/>
      <c r="K50" s="1381"/>
      <c r="L50" s="1381"/>
      <c r="M50" s="1381"/>
      <c r="N50" s="1381"/>
      <c r="O50" s="1353"/>
      <c r="P50" s="1353"/>
      <c r="Q50" s="1353"/>
      <c r="R50" s="1353"/>
      <c r="S50" s="1353"/>
      <c r="Z50" s="1354"/>
      <c r="AA50" s="1354"/>
      <c r="AB50" s="1354"/>
      <c r="AC50" s="1354"/>
      <c r="AD50" s="1354"/>
      <c r="AE50" s="1354"/>
      <c r="AF50" s="1354"/>
    </row>
    <row r="51" spans="1:32" ht="13" customHeight="1" x14ac:dyDescent="0.15">
      <c r="A51" s="10" t="s">
        <v>238</v>
      </c>
      <c r="B51" s="17"/>
      <c r="C51" s="17" t="s">
        <v>758</v>
      </c>
      <c r="D51" s="1071"/>
      <c r="E51" s="1071">
        <v>15533.525</v>
      </c>
      <c r="F51" s="1073">
        <v>4328.6115900000004</v>
      </c>
      <c r="G51" s="1073"/>
      <c r="H51" s="1071">
        <v>77873.000999999989</v>
      </c>
      <c r="I51" s="1071">
        <f>+SUM('Saisie actif'!P29:P31)</f>
        <v>11700.050000000001</v>
      </c>
      <c r="J51" s="1363"/>
      <c r="K51" s="1381"/>
      <c r="L51" s="1381"/>
      <c r="M51" s="1381"/>
      <c r="N51" s="1381">
        <f>+SUM('Saisie actif'!U29:U31)</f>
        <v>0</v>
      </c>
      <c r="O51" s="1353"/>
      <c r="P51" s="1353"/>
      <c r="Q51" s="1353"/>
      <c r="R51" s="1353"/>
      <c r="S51" s="1353"/>
      <c r="Z51" s="1354"/>
      <c r="AA51" s="1354"/>
      <c r="AB51" s="1354"/>
      <c r="AC51" s="1354"/>
      <c r="AD51" s="1354"/>
      <c r="AE51" s="1354"/>
      <c r="AF51" s="1354"/>
    </row>
    <row r="52" spans="1:32" ht="13" customHeight="1" x14ac:dyDescent="0.15">
      <c r="A52" s="10" t="s">
        <v>239</v>
      </c>
      <c r="B52" s="17"/>
      <c r="C52" s="20" t="s">
        <v>759</v>
      </c>
      <c r="D52" s="1082"/>
      <c r="E52" s="1071"/>
      <c r="F52" s="1071"/>
      <c r="G52" s="1071"/>
      <c r="H52" s="1071"/>
      <c r="I52" s="1071">
        <f>+SUM('Saisie actif'!Q29:Q31)</f>
        <v>0</v>
      </c>
      <c r="J52" s="1363"/>
      <c r="K52" s="1381"/>
      <c r="L52" s="1381"/>
      <c r="M52" s="1381"/>
      <c r="N52" s="1381">
        <f>+SUM('Saisie actif'!V29:V31)</f>
        <v>0</v>
      </c>
      <c r="O52" s="1353"/>
      <c r="P52" s="1353"/>
      <c r="Q52" s="1353"/>
      <c r="R52" s="1353"/>
      <c r="S52" s="1353"/>
      <c r="Z52" s="1354"/>
      <c r="AA52" s="1354"/>
      <c r="AB52" s="1354"/>
      <c r="AC52" s="1354"/>
      <c r="AD52" s="1354"/>
      <c r="AE52" s="1354"/>
      <c r="AF52" s="1354"/>
    </row>
    <row r="53" spans="1:32" ht="13" customHeight="1" x14ac:dyDescent="0.15">
      <c r="A53" s="10" t="s">
        <v>225</v>
      </c>
      <c r="B53" s="17"/>
      <c r="C53" s="17" t="s">
        <v>760</v>
      </c>
      <c r="D53" s="1070"/>
      <c r="E53" s="1071"/>
      <c r="F53" s="1071"/>
      <c r="G53" s="1071"/>
      <c r="H53" s="1071"/>
      <c r="I53" s="1071"/>
      <c r="J53" s="1363" t="s">
        <v>863</v>
      </c>
      <c r="K53" s="1381"/>
      <c r="L53" s="1381"/>
      <c r="M53" s="1381"/>
      <c r="N53" s="1381"/>
      <c r="O53" s="1353"/>
      <c r="P53" s="1353"/>
      <c r="Q53" s="1353"/>
      <c r="R53" s="1353"/>
      <c r="S53" s="1353"/>
      <c r="Z53" s="1354"/>
      <c r="AA53" s="1354"/>
      <c r="AB53" s="1354"/>
      <c r="AC53" s="1354"/>
      <c r="AD53" s="1354"/>
      <c r="AE53" s="1354"/>
      <c r="AF53" s="1354"/>
    </row>
    <row r="54" spans="1:32" ht="13" customHeight="1" x14ac:dyDescent="0.15">
      <c r="A54" s="10" t="s">
        <v>240</v>
      </c>
      <c r="B54" s="17"/>
      <c r="C54" s="17" t="s">
        <v>761</v>
      </c>
      <c r="D54" s="1070"/>
      <c r="E54" s="1071"/>
      <c r="F54" s="1071"/>
      <c r="G54" s="1071"/>
      <c r="H54" s="1071"/>
      <c r="I54" s="1071"/>
      <c r="J54" s="1363"/>
      <c r="K54" s="1381"/>
      <c r="L54" s="1381"/>
      <c r="M54" s="1381"/>
      <c r="N54" s="1381"/>
      <c r="O54" s="1353"/>
      <c r="P54" s="1353"/>
      <c r="Q54" s="1353"/>
      <c r="R54" s="1353"/>
      <c r="S54" s="1353"/>
      <c r="Z54" s="1354"/>
      <c r="AA54" s="1354"/>
      <c r="AB54" s="1354"/>
      <c r="AC54" s="1354"/>
      <c r="AD54" s="1354"/>
      <c r="AE54" s="1354"/>
      <c r="AF54" s="1354"/>
    </row>
    <row r="55" spans="1:32" ht="13" customHeight="1" x14ac:dyDescent="0.15">
      <c r="A55" s="10" t="s">
        <v>211</v>
      </c>
      <c r="B55" s="17"/>
      <c r="C55" s="17" t="s">
        <v>762</v>
      </c>
      <c r="D55" s="1070"/>
      <c r="E55" s="1071"/>
      <c r="F55" s="1071"/>
      <c r="G55" s="1071"/>
      <c r="H55" s="1071"/>
      <c r="I55" s="1071"/>
      <c r="J55" s="1363"/>
      <c r="K55" s="1381"/>
      <c r="L55" s="1381"/>
      <c r="M55" s="1381"/>
      <c r="N55" s="1381"/>
      <c r="O55" s="1353"/>
      <c r="P55" s="1353"/>
      <c r="Q55" s="1353"/>
      <c r="R55" s="1353"/>
      <c r="S55" s="1353"/>
      <c r="Z55" s="1354"/>
      <c r="AA55" s="1354"/>
      <c r="AB55" s="1354"/>
      <c r="AC55" s="1354"/>
      <c r="AD55" s="1354"/>
      <c r="AE55" s="1354"/>
      <c r="AF55" s="1354"/>
    </row>
    <row r="56" spans="1:32" ht="13" customHeight="1" x14ac:dyDescent="0.15">
      <c r="B56" s="17"/>
      <c r="C56" s="17" t="s">
        <v>763</v>
      </c>
      <c r="D56" s="1082"/>
      <c r="E56" s="1071"/>
      <c r="F56" s="1071"/>
      <c r="G56" s="1071"/>
      <c r="H56" s="1431">
        <v>266.47500000000002</v>
      </c>
      <c r="I56" s="1431">
        <v>266.47500000000002</v>
      </c>
      <c r="J56" s="1363"/>
      <c r="K56" s="1381"/>
      <c r="L56" s="1381"/>
      <c r="M56" s="1381"/>
      <c r="N56" s="1381"/>
      <c r="Z56" s="1354"/>
      <c r="AA56" s="1354"/>
      <c r="AB56" s="1354"/>
      <c r="AC56" s="1354"/>
      <c r="AD56" s="1354"/>
      <c r="AE56" s="1354"/>
      <c r="AF56" s="1354"/>
    </row>
    <row r="57" spans="1:32" ht="13" customHeight="1" thickBot="1" x14ac:dyDescent="0.2">
      <c r="A57" s="10" t="s">
        <v>241</v>
      </c>
      <c r="B57" s="17"/>
      <c r="C57" s="20" t="s">
        <v>764</v>
      </c>
      <c r="D57" s="1083"/>
      <c r="E57" s="1075"/>
      <c r="F57" s="1075"/>
      <c r="G57" s="1075">
        <v>804.80499999999995</v>
      </c>
      <c r="H57" s="1075"/>
      <c r="I57" s="1075"/>
      <c r="J57" s="1363"/>
      <c r="K57" s="1381"/>
      <c r="L57" s="1381"/>
      <c r="M57" s="1381"/>
      <c r="N57" s="1381"/>
      <c r="Z57" s="1354"/>
      <c r="AA57" s="1354"/>
      <c r="AB57" s="1354"/>
      <c r="AC57" s="1354"/>
      <c r="AD57" s="1354"/>
      <c r="AE57" s="1354"/>
      <c r="AF57" s="1354"/>
    </row>
    <row r="58" spans="1:32" ht="13" customHeight="1" thickBot="1" x14ac:dyDescent="0.2">
      <c r="B58" s="14" t="s">
        <v>765</v>
      </c>
      <c r="C58" s="30"/>
      <c r="D58" s="1069">
        <f>D59-D60-D61</f>
        <v>0</v>
      </c>
      <c r="E58" s="1069">
        <f>E59-E60-E61</f>
        <v>0</v>
      </c>
      <c r="F58" s="1069">
        <f>F59-F60-F61</f>
        <v>0</v>
      </c>
      <c r="G58" s="1069">
        <f>G59-G60-G61</f>
        <v>0</v>
      </c>
      <c r="H58" s="1069">
        <v>0</v>
      </c>
      <c r="I58" s="1069">
        <f>I59-I60-I61</f>
        <v>0</v>
      </c>
      <c r="J58" s="1363"/>
      <c r="K58" s="1382"/>
      <c r="L58" s="1382"/>
      <c r="M58" s="1382"/>
      <c r="N58" s="1382">
        <f>N59-N60-N61</f>
        <v>0</v>
      </c>
      <c r="Z58" s="1354"/>
      <c r="AA58" s="1354"/>
      <c r="AB58" s="1354"/>
      <c r="AC58" s="1354"/>
      <c r="AD58" s="1354"/>
      <c r="AE58" s="1354"/>
      <c r="AF58" s="1354"/>
    </row>
    <row r="59" spans="1:32" ht="13" customHeight="1" x14ac:dyDescent="0.15">
      <c r="A59" s="10" t="s">
        <v>243</v>
      </c>
      <c r="B59" s="17"/>
      <c r="C59" s="17" t="s">
        <v>766</v>
      </c>
      <c r="D59" s="1080"/>
      <c r="E59" s="1073"/>
      <c r="F59" s="1073"/>
      <c r="G59" s="1073"/>
      <c r="H59" s="1073"/>
      <c r="I59" s="1073">
        <f>+'Saisie actif'!P33</f>
        <v>0</v>
      </c>
      <c r="J59" s="1363"/>
      <c r="K59" s="1381"/>
      <c r="L59" s="1381"/>
      <c r="M59" s="1381"/>
      <c r="N59" s="1381">
        <f>+'Saisie actif'!U33</f>
        <v>0</v>
      </c>
      <c r="Z59" s="1354"/>
      <c r="AA59" s="1354"/>
      <c r="AB59" s="1354"/>
      <c r="AC59" s="1354"/>
      <c r="AD59" s="1354"/>
      <c r="AE59" s="1354"/>
      <c r="AF59" s="1354"/>
    </row>
    <row r="60" spans="1:32" ht="13" customHeight="1" x14ac:dyDescent="0.15">
      <c r="B60" s="17"/>
      <c r="C60" s="17" t="s">
        <v>767</v>
      </c>
      <c r="D60" s="1082"/>
      <c r="E60" s="1084"/>
      <c r="F60" s="1071"/>
      <c r="G60" s="1071"/>
      <c r="H60" s="1071"/>
      <c r="I60" s="1071"/>
      <c r="J60" s="1363"/>
      <c r="K60" s="1381"/>
      <c r="L60" s="1381"/>
      <c r="M60" s="1381"/>
      <c r="N60" s="1381"/>
      <c r="Z60" s="1354"/>
      <c r="AA60" s="1354"/>
      <c r="AB60" s="1354"/>
      <c r="AC60" s="1354"/>
      <c r="AD60" s="1354"/>
      <c r="AE60" s="1354"/>
      <c r="AF60" s="1354"/>
    </row>
    <row r="61" spans="1:32" ht="13" customHeight="1" thickBot="1" x14ac:dyDescent="0.2">
      <c r="A61" s="10" t="s">
        <v>244</v>
      </c>
      <c r="B61" s="17"/>
      <c r="C61" s="26" t="s">
        <v>768</v>
      </c>
      <c r="D61" s="1083"/>
      <c r="E61" s="1085"/>
      <c r="F61" s="1075"/>
      <c r="G61" s="1075"/>
      <c r="H61" s="1075"/>
      <c r="I61" s="1075">
        <f>+'Saisie actif'!Q33</f>
        <v>0</v>
      </c>
      <c r="J61" s="1363"/>
      <c r="K61" s="1381"/>
      <c r="L61" s="1381"/>
      <c r="M61" s="1381"/>
      <c r="N61" s="1381">
        <f>+'Saisie actif'!V33</f>
        <v>0</v>
      </c>
      <c r="Z61" s="1354"/>
      <c r="AA61" s="1354"/>
      <c r="AB61" s="1354"/>
      <c r="AC61" s="1354"/>
      <c r="AD61" s="1354"/>
      <c r="AE61" s="1354"/>
      <c r="AF61" s="1354"/>
    </row>
    <row r="62" spans="1:32" ht="13" customHeight="1" thickBot="1" x14ac:dyDescent="0.2">
      <c r="B62" s="14" t="s">
        <v>769</v>
      </c>
      <c r="C62" s="15"/>
      <c r="D62" s="1069">
        <f t="shared" ref="D62:I62" si="8">D63-D64</f>
        <v>0</v>
      </c>
      <c r="E62" s="1069">
        <f t="shared" si="8"/>
        <v>30403.940999999999</v>
      </c>
      <c r="F62" s="1069">
        <f t="shared" si="8"/>
        <v>126419.96103000001</v>
      </c>
      <c r="G62" s="1069">
        <f t="shared" si="8"/>
        <v>22728.054</v>
      </c>
      <c r="H62" s="1069">
        <f t="shared" si="8"/>
        <v>104619.69899999999</v>
      </c>
      <c r="I62" s="1069">
        <f t="shared" si="8"/>
        <v>2136.154</v>
      </c>
      <c r="J62" s="1363"/>
      <c r="K62" s="1382"/>
      <c r="L62" s="1382"/>
      <c r="M62" s="1382"/>
      <c r="N62" s="1382">
        <f>N63-N64</f>
        <v>0</v>
      </c>
      <c r="Z62" s="1354"/>
      <c r="AA62" s="1354"/>
      <c r="AB62" s="1354"/>
      <c r="AC62" s="1354"/>
      <c r="AD62" s="1354"/>
      <c r="AE62" s="1354"/>
      <c r="AF62" s="1354"/>
    </row>
    <row r="63" spans="1:32" ht="13" customHeight="1" x14ac:dyDescent="0.15">
      <c r="A63" s="10" t="s">
        <v>245</v>
      </c>
      <c r="B63" s="17"/>
      <c r="C63" s="17" t="s">
        <v>770</v>
      </c>
      <c r="D63" s="1073"/>
      <c r="E63" s="1073">
        <v>30403.940999999999</v>
      </c>
      <c r="F63" s="1073">
        <v>126419.96103000001</v>
      </c>
      <c r="G63" s="1073">
        <v>22728.054</v>
      </c>
      <c r="H63" s="1073">
        <v>104619.69899999999</v>
      </c>
      <c r="I63" s="1073">
        <f>+'Saisie actif'!P34</f>
        <v>2136.154</v>
      </c>
      <c r="J63" s="1363"/>
      <c r="K63" s="1381"/>
      <c r="L63" s="1381"/>
      <c r="M63" s="1381"/>
      <c r="N63" s="1381">
        <f>+'Saisie actif'!U34</f>
        <v>0</v>
      </c>
      <c r="Z63" s="1354"/>
      <c r="AA63" s="1354"/>
      <c r="AB63" s="1354"/>
      <c r="AC63" s="1354"/>
      <c r="AD63" s="1354"/>
      <c r="AE63" s="1354"/>
      <c r="AF63" s="1354"/>
    </row>
    <row r="64" spans="1:32" ht="13" customHeight="1" thickBot="1" x14ac:dyDescent="0.2">
      <c r="B64" s="17"/>
      <c r="C64" s="17" t="s">
        <v>771</v>
      </c>
      <c r="D64" s="1074"/>
      <c r="E64" s="1075"/>
      <c r="F64" s="1075"/>
      <c r="G64" s="1075"/>
      <c r="H64" s="1075"/>
      <c r="I64" s="1075">
        <f>+'Saisie actif'!Q34</f>
        <v>0</v>
      </c>
      <c r="J64" s="1363"/>
      <c r="K64" s="1381"/>
      <c r="L64" s="1381"/>
      <c r="M64" s="1381"/>
      <c r="N64" s="1381">
        <f>+'Saisie actif'!V34</f>
        <v>0</v>
      </c>
      <c r="Z64" s="1354"/>
      <c r="AA64" s="1354"/>
      <c r="AB64" s="1354"/>
      <c r="AC64" s="1354"/>
      <c r="AD64" s="1354"/>
      <c r="AE64" s="1354"/>
      <c r="AF64" s="1354"/>
    </row>
    <row r="65" spans="1:58" ht="13" customHeight="1" thickBot="1" x14ac:dyDescent="0.2">
      <c r="B65" s="14" t="s">
        <v>772</v>
      </c>
      <c r="C65" s="15"/>
      <c r="D65" s="1069">
        <f>D66</f>
        <v>0</v>
      </c>
      <c r="E65" s="1069">
        <f>E66</f>
        <v>0</v>
      </c>
      <c r="F65" s="1069">
        <f>F66</f>
        <v>0</v>
      </c>
      <c r="G65" s="1069">
        <f>G66</f>
        <v>0</v>
      </c>
      <c r="H65" s="1069">
        <v>0</v>
      </c>
      <c r="I65" s="1069">
        <f>I66</f>
        <v>0</v>
      </c>
      <c r="J65" s="1363"/>
      <c r="K65" s="1382"/>
      <c r="L65" s="1382"/>
      <c r="M65" s="1382"/>
      <c r="N65" s="1382">
        <f>N66</f>
        <v>0</v>
      </c>
      <c r="Z65" s="1354"/>
      <c r="AA65" s="1354"/>
      <c r="AB65" s="1354"/>
      <c r="AC65" s="1354"/>
      <c r="AD65" s="1354"/>
      <c r="AE65" s="1354"/>
      <c r="AF65" s="1354"/>
    </row>
    <row r="66" spans="1:58" thickBot="1" x14ac:dyDescent="0.2">
      <c r="B66" s="17"/>
      <c r="C66" s="25" t="s">
        <v>777</v>
      </c>
      <c r="D66" s="1086"/>
      <c r="E66" s="1087">
        <v>0</v>
      </c>
      <c r="F66" s="1087">
        <v>0</v>
      </c>
      <c r="G66" s="1087"/>
      <c r="H66" s="1087"/>
      <c r="I66" s="1087"/>
      <c r="J66" s="1363"/>
      <c r="K66" s="1383"/>
      <c r="L66" s="1383"/>
      <c r="M66" s="1383"/>
      <c r="N66" s="1383"/>
      <c r="Z66" s="1354"/>
      <c r="AA66" s="1354"/>
      <c r="AB66" s="1354"/>
      <c r="AC66" s="1354"/>
      <c r="AD66" s="1354"/>
      <c r="AE66" s="1354"/>
      <c r="AF66" s="1354"/>
    </row>
    <row r="67" spans="1:58" ht="13" customHeight="1" thickBot="1" x14ac:dyDescent="0.2">
      <c r="B67" s="14" t="s">
        <v>778</v>
      </c>
      <c r="C67" s="15"/>
      <c r="D67" s="1069">
        <f t="shared" ref="D67:I67" si="9">D68-D69+D70</f>
        <v>0</v>
      </c>
      <c r="E67" s="1069">
        <f t="shared" si="9"/>
        <v>55000</v>
      </c>
      <c r="F67" s="1069">
        <f t="shared" si="9"/>
        <v>55000</v>
      </c>
      <c r="G67" s="1069">
        <f t="shared" si="9"/>
        <v>55000</v>
      </c>
      <c r="H67" s="1069">
        <f t="shared" si="9"/>
        <v>55000</v>
      </c>
      <c r="I67" s="1069">
        <f t="shared" si="9"/>
        <v>50465</v>
      </c>
      <c r="J67" s="1363"/>
      <c r="K67" s="1382"/>
      <c r="L67" s="1382"/>
      <c r="M67" s="1382"/>
      <c r="N67" s="1382">
        <f>N68-N69+N70</f>
        <v>0</v>
      </c>
      <c r="Z67" s="1354"/>
      <c r="AA67" s="1354"/>
      <c r="AB67" s="1354"/>
      <c r="AC67" s="1354"/>
      <c r="AD67" s="1354"/>
      <c r="AE67" s="1354"/>
      <c r="AF67" s="1354"/>
    </row>
    <row r="68" spans="1:58" ht="13" customHeight="1" x14ac:dyDescent="0.15">
      <c r="A68" s="10" t="s">
        <v>247</v>
      </c>
      <c r="B68" s="17"/>
      <c r="C68" s="17" t="s">
        <v>779</v>
      </c>
      <c r="D68" s="1073"/>
      <c r="E68" s="1073">
        <v>55000</v>
      </c>
      <c r="F68" s="1073">
        <v>55000</v>
      </c>
      <c r="G68" s="1073">
        <v>55000</v>
      </c>
      <c r="H68" s="1073">
        <v>55000</v>
      </c>
      <c r="I68" s="1073">
        <f>+'Saisie passif'!H6</f>
        <v>50465</v>
      </c>
      <c r="J68" s="1419">
        <f>'Saisie passif'!$E$18</f>
        <v>962.64700000000005</v>
      </c>
      <c r="K68" s="1381"/>
      <c r="L68" s="1381"/>
      <c r="M68" s="1381"/>
      <c r="N68" s="1381">
        <f>+'Saisie passif'!M6</f>
        <v>0</v>
      </c>
      <c r="Z68" s="1354"/>
      <c r="AA68" s="1354"/>
      <c r="AB68" s="1354"/>
      <c r="AC68" s="1354"/>
      <c r="AD68" s="1354"/>
      <c r="AE68" s="1354"/>
      <c r="AF68" s="1354"/>
    </row>
    <row r="69" spans="1:58" ht="13" customHeight="1" x14ac:dyDescent="0.15">
      <c r="A69" s="10" t="s">
        <v>246</v>
      </c>
      <c r="B69" s="17"/>
      <c r="C69" s="17" t="s">
        <v>780</v>
      </c>
      <c r="D69" s="1070"/>
      <c r="E69" s="1071"/>
      <c r="F69" s="1071"/>
      <c r="G69" s="1071"/>
      <c r="H69" s="1071"/>
      <c r="I69" s="1071">
        <f>+'Saisie passif'!H7</f>
        <v>0</v>
      </c>
      <c r="J69" s="1363"/>
      <c r="K69" s="1381"/>
      <c r="L69" s="1381"/>
      <c r="M69" s="1381"/>
      <c r="N69" s="1381">
        <f>+'Saisie passif'!M7</f>
        <v>0</v>
      </c>
      <c r="Z69" s="1354"/>
      <c r="AA69" s="1354"/>
      <c r="AB69" s="1354"/>
      <c r="AC69" s="1354"/>
      <c r="AD69" s="1354"/>
      <c r="AE69" s="1354"/>
      <c r="AF69" s="1354"/>
    </row>
    <row r="70" spans="1:58" ht="13" customHeight="1" thickBot="1" x14ac:dyDescent="0.2">
      <c r="A70" s="10" t="s">
        <v>248</v>
      </c>
      <c r="B70" s="17"/>
      <c r="C70" s="17" t="s">
        <v>781</v>
      </c>
      <c r="D70" s="1074"/>
      <c r="E70" s="1075"/>
      <c r="F70" s="1075"/>
      <c r="G70" s="1075"/>
      <c r="H70" s="1075"/>
      <c r="I70" s="1075">
        <f>+'Saisie passif'!H8</f>
        <v>0</v>
      </c>
      <c r="J70" s="1363"/>
      <c r="K70" s="1381"/>
      <c r="L70" s="1381"/>
      <c r="M70" s="1381"/>
      <c r="N70" s="1381">
        <f>+'Saisie passif'!M8</f>
        <v>0</v>
      </c>
      <c r="Z70" s="1354"/>
      <c r="AA70" s="1354"/>
      <c r="AB70" s="1354"/>
      <c r="AC70" s="1354"/>
      <c r="AD70" s="1354"/>
      <c r="AE70" s="1354"/>
      <c r="AF70" s="1354"/>
    </row>
    <row r="71" spans="1:58" ht="13" customHeight="1" thickBot="1" x14ac:dyDescent="0.2">
      <c r="B71" s="14" t="s">
        <v>782</v>
      </c>
      <c r="C71" s="15"/>
      <c r="D71" s="1088">
        <f t="shared" ref="D71:I71" si="10">D72+D73+D74+D75+D76</f>
        <v>0</v>
      </c>
      <c r="E71" s="1088">
        <f t="shared" si="10"/>
        <v>21587.473000000002</v>
      </c>
      <c r="F71" s="1088">
        <f t="shared" si="10"/>
        <v>32088.00706</v>
      </c>
      <c r="G71" s="1088">
        <f t="shared" si="10"/>
        <v>50446.012999999999</v>
      </c>
      <c r="H71" s="1088">
        <f t="shared" si="10"/>
        <v>74277.391999999993</v>
      </c>
      <c r="I71" s="1088">
        <f t="shared" si="10"/>
        <v>33176.275000000001</v>
      </c>
      <c r="J71" s="1363"/>
      <c r="K71" s="1384"/>
      <c r="L71" s="1384"/>
      <c r="M71" s="1384"/>
      <c r="N71" s="1384">
        <f>N72+N73+N74+N75+N76</f>
        <v>0</v>
      </c>
      <c r="Z71" s="1354"/>
      <c r="AA71" s="1354"/>
      <c r="AB71" s="1354"/>
      <c r="AC71" s="1354"/>
      <c r="AD71" s="1354"/>
      <c r="AE71" s="1354"/>
      <c r="AF71" s="1354"/>
    </row>
    <row r="72" spans="1:58" ht="13" customHeight="1" x14ac:dyDescent="0.15">
      <c r="A72" s="10" t="s">
        <v>250</v>
      </c>
      <c r="B72" s="17"/>
      <c r="C72" s="20" t="s">
        <v>783</v>
      </c>
      <c r="D72" s="1089"/>
      <c r="E72" s="1089">
        <v>320</v>
      </c>
      <c r="F72" s="1089">
        <v>32088.00706</v>
      </c>
      <c r="G72" s="1089">
        <f>5500+1426.596</f>
        <v>6926.5959999999995</v>
      </c>
      <c r="H72" s="1089">
        <v>33176.275000000001</v>
      </c>
      <c r="I72" s="1089">
        <v>33176.275000000001</v>
      </c>
      <c r="J72" s="1363"/>
      <c r="K72" s="1385"/>
      <c r="L72" s="1385"/>
      <c r="M72" s="1385"/>
      <c r="N72" s="1385"/>
      <c r="Z72" s="1354"/>
      <c r="AA72" s="1354"/>
      <c r="AB72" s="1354"/>
      <c r="AC72" s="1354"/>
      <c r="AD72" s="1354"/>
      <c r="AE72" s="1354"/>
      <c r="AF72" s="1354"/>
    </row>
    <row r="73" spans="1:58" ht="13" customHeight="1" x14ac:dyDescent="0.15">
      <c r="B73" s="17"/>
      <c r="C73" s="17" t="s">
        <v>784</v>
      </c>
      <c r="D73" s="1091"/>
      <c r="E73" s="1091"/>
      <c r="F73" s="1091"/>
      <c r="G73" s="1091"/>
      <c r="H73" s="1091"/>
      <c r="I73" s="1091">
        <f>+'Saisie passif'!H9</f>
        <v>0</v>
      </c>
      <c r="J73" s="1363"/>
      <c r="K73" s="1385"/>
      <c r="L73" s="1385"/>
      <c r="M73" s="1385"/>
      <c r="N73" s="1385">
        <f>+'Saisie passif'!M9</f>
        <v>0</v>
      </c>
      <c r="Z73" s="1354"/>
      <c r="AA73" s="1354"/>
      <c r="AB73" s="1354"/>
      <c r="AC73" s="1354"/>
      <c r="AD73" s="1354"/>
      <c r="AE73" s="1354"/>
      <c r="AF73" s="1354"/>
    </row>
    <row r="74" spans="1:58" ht="13" customHeight="1" x14ac:dyDescent="0.15">
      <c r="B74" s="17"/>
      <c r="C74" s="17" t="s">
        <v>785</v>
      </c>
      <c r="D74" s="1091"/>
      <c r="E74" s="1091"/>
      <c r="F74" s="1091"/>
      <c r="G74" s="1091"/>
      <c r="H74" s="1091"/>
      <c r="I74" s="1091">
        <f>+'Saisie passif'!H10</f>
        <v>0</v>
      </c>
      <c r="J74" s="1363"/>
      <c r="K74" s="1385"/>
      <c r="L74" s="1385"/>
      <c r="M74" s="1385"/>
      <c r="N74" s="1385">
        <f>+'Saisie passif'!M10</f>
        <v>0</v>
      </c>
      <c r="Z74" s="1354"/>
      <c r="AA74" s="1354"/>
      <c r="AB74" s="1354"/>
      <c r="AC74" s="1354"/>
      <c r="AD74" s="1354"/>
      <c r="AE74" s="1354"/>
      <c r="AF74" s="1354"/>
    </row>
    <row r="75" spans="1:58" ht="13" customHeight="1" x14ac:dyDescent="0.15">
      <c r="B75" s="17"/>
      <c r="C75" s="17" t="s">
        <v>786</v>
      </c>
      <c r="D75" s="1091"/>
      <c r="E75" s="1091">
        <v>21267.473000000002</v>
      </c>
      <c r="F75" s="1091"/>
      <c r="G75" s="1091"/>
      <c r="H75" s="1091"/>
      <c r="I75" s="1091"/>
      <c r="J75" s="1363"/>
      <c r="K75" s="1385"/>
      <c r="L75" s="1385"/>
      <c r="M75" s="1385"/>
      <c r="N75" s="1385"/>
      <c r="Z75" s="1354"/>
      <c r="AA75" s="1354"/>
      <c r="AB75" s="1354"/>
      <c r="AC75" s="1354"/>
      <c r="AD75" s="1354"/>
      <c r="AE75" s="1354"/>
      <c r="AF75" s="1354"/>
    </row>
    <row r="76" spans="1:58" ht="13" customHeight="1" thickBot="1" x14ac:dyDescent="0.2">
      <c r="A76" s="10" t="s">
        <v>249</v>
      </c>
      <c r="B76" s="17"/>
      <c r="C76" s="17" t="s">
        <v>787</v>
      </c>
      <c r="D76" s="1093"/>
      <c r="E76" s="1093"/>
      <c r="F76" s="1093"/>
      <c r="G76" s="1093">
        <f>17269.738+26249.679</f>
        <v>43519.417000000001</v>
      </c>
      <c r="H76" s="1093">
        <v>41101.116999999998</v>
      </c>
      <c r="I76" s="1093">
        <f>+'Saisie passif'!H12</f>
        <v>0</v>
      </c>
      <c r="J76" s="1363"/>
      <c r="K76" s="1385"/>
      <c r="L76" s="1385"/>
      <c r="M76" s="1385"/>
      <c r="N76" s="1385">
        <f>+'Saisie passif'!M12</f>
        <v>0</v>
      </c>
      <c r="Z76" s="1354"/>
      <c r="AA76" s="1354"/>
      <c r="AB76" s="1354"/>
      <c r="AC76" s="1354"/>
      <c r="AD76" s="1354"/>
      <c r="AE76" s="1354"/>
      <c r="AF76" s="1354"/>
    </row>
    <row r="77" spans="1:58" ht="13" customHeight="1" thickBot="1" x14ac:dyDescent="0.2">
      <c r="B77" s="21" t="s">
        <v>788</v>
      </c>
      <c r="C77" s="23"/>
      <c r="D77" s="1094">
        <f t="shared" ref="D77:I77" si="11">D78</f>
        <v>0</v>
      </c>
      <c r="E77" s="1094">
        <f t="shared" si="11"/>
        <v>9000.4575000000004</v>
      </c>
      <c r="F77" s="1094">
        <f t="shared" si="11"/>
        <v>18383.00865</v>
      </c>
      <c r="G77" s="1094">
        <f t="shared" si="11"/>
        <v>21368.238000000001</v>
      </c>
      <c r="H77" s="1094">
        <f t="shared" si="11"/>
        <v>27766.661</v>
      </c>
      <c r="I77" s="1094">
        <f t="shared" si="11"/>
        <v>14302.33</v>
      </c>
      <c r="J77" s="1363" t="s">
        <v>864</v>
      </c>
      <c r="K77" s="1384"/>
      <c r="L77" s="1384"/>
      <c r="M77" s="1384"/>
      <c r="N77" s="1384">
        <f>N78</f>
        <v>0</v>
      </c>
      <c r="Z77" s="1354"/>
      <c r="AA77" s="1354"/>
      <c r="AB77" s="1354"/>
      <c r="AC77" s="1354"/>
      <c r="AD77" s="1354"/>
      <c r="AE77" s="1354"/>
      <c r="AF77" s="1354"/>
    </row>
    <row r="78" spans="1:58" s="31" customFormat="1" ht="27" customHeight="1" x14ac:dyDescent="0.15">
      <c r="A78" s="31" t="s">
        <v>251</v>
      </c>
      <c r="B78" s="17"/>
      <c r="C78" s="26" t="s">
        <v>104</v>
      </c>
      <c r="D78" s="1089"/>
      <c r="E78" s="1089">
        <f>12000.61*0.75</f>
        <v>9000.4575000000004</v>
      </c>
      <c r="F78" s="1089">
        <f>24510.6782*0.75</f>
        <v>18383.00865</v>
      </c>
      <c r="G78" s="1089">
        <v>21368.238000000001</v>
      </c>
      <c r="H78" s="1089">
        <v>27766.661</v>
      </c>
      <c r="I78" s="1089">
        <f>+'Saisie passif'!H11</f>
        <v>14302.33</v>
      </c>
      <c r="J78" s="1367" t="s">
        <v>865</v>
      </c>
      <c r="K78" s="1385"/>
      <c r="L78" s="1385"/>
      <c r="M78" s="1385"/>
      <c r="N78" s="1385">
        <f>+'Saisie passif'!M11</f>
        <v>0</v>
      </c>
      <c r="O78" s="1355"/>
      <c r="P78" s="1355"/>
      <c r="Q78" s="1355"/>
      <c r="R78" s="1355"/>
      <c r="S78" s="1355"/>
      <c r="T78" s="1355"/>
      <c r="U78" s="1355"/>
      <c r="V78" s="1355"/>
      <c r="W78" s="1355"/>
      <c r="X78" s="1355"/>
      <c r="Y78" s="1355"/>
      <c r="Z78" s="1354"/>
      <c r="AA78" s="1354"/>
      <c r="AB78" s="1354"/>
      <c r="AC78" s="1354"/>
      <c r="AD78" s="1354"/>
      <c r="AE78" s="1354"/>
      <c r="AF78" s="1354"/>
      <c r="AG78" s="1355"/>
      <c r="AH78" s="1355"/>
      <c r="AI78" s="1355"/>
      <c r="AJ78" s="1355"/>
      <c r="AK78" s="1355"/>
      <c r="AL78" s="1355"/>
      <c r="AM78" s="1355"/>
      <c r="AN78" s="1355"/>
      <c r="AO78" s="1355"/>
      <c r="AP78" s="1355"/>
      <c r="AQ78" s="1355"/>
      <c r="AR78" s="1355"/>
      <c r="AS78" s="1355"/>
      <c r="AT78" s="1355"/>
      <c r="AU78" s="1355"/>
      <c r="AV78" s="1355"/>
      <c r="AW78" s="1355"/>
      <c r="AX78" s="1355"/>
      <c r="AY78" s="1355"/>
      <c r="AZ78" s="1355"/>
      <c r="BA78" s="1355"/>
      <c r="BB78" s="1355"/>
      <c r="BC78" s="1355"/>
      <c r="BD78" s="1355"/>
      <c r="BE78" s="1355"/>
      <c r="BF78" s="1355"/>
    </row>
    <row r="79" spans="1:58" ht="13" customHeight="1" thickBot="1" x14ac:dyDescent="0.2">
      <c r="A79" s="10" t="s">
        <v>560</v>
      </c>
      <c r="B79" s="17"/>
      <c r="C79" s="32" t="s">
        <v>789</v>
      </c>
      <c r="D79" s="1074"/>
      <c r="E79" s="1075"/>
      <c r="F79" s="1075"/>
      <c r="G79" s="1075"/>
      <c r="H79" s="1075"/>
      <c r="I79" s="1075"/>
      <c r="J79" s="1363" t="s">
        <v>866</v>
      </c>
      <c r="K79" s="1381"/>
      <c r="L79" s="1381"/>
      <c r="M79" s="1381"/>
      <c r="N79" s="1381"/>
      <c r="Z79" s="1354"/>
      <c r="AA79" s="1354"/>
      <c r="AB79" s="1354"/>
      <c r="AC79" s="1354"/>
      <c r="AD79" s="1354"/>
      <c r="AE79" s="1354"/>
      <c r="AF79" s="1354"/>
    </row>
    <row r="80" spans="1:58" ht="13" customHeight="1" thickBot="1" x14ac:dyDescent="0.2">
      <c r="B80" s="14" t="s">
        <v>790</v>
      </c>
      <c r="C80" s="15"/>
      <c r="D80" s="1088">
        <f>D81-D82</f>
        <v>0</v>
      </c>
      <c r="E80" s="1088">
        <f>E81-E82</f>
        <v>0</v>
      </c>
      <c r="F80" s="1088">
        <f>F81-F82</f>
        <v>0</v>
      </c>
      <c r="G80" s="1088">
        <f>G81-G82</f>
        <v>0</v>
      </c>
      <c r="H80" s="1088">
        <v>0</v>
      </c>
      <c r="I80" s="1088">
        <f>I81-I82</f>
        <v>0</v>
      </c>
      <c r="J80" s="1363"/>
      <c r="K80" s="1384"/>
      <c r="L80" s="1384"/>
      <c r="M80" s="1384"/>
      <c r="N80" s="1384">
        <f>N81-N82</f>
        <v>0</v>
      </c>
      <c r="Z80" s="1354"/>
      <c r="AA80" s="1354"/>
      <c r="AB80" s="1354"/>
      <c r="AC80" s="1354"/>
      <c r="AD80" s="1354"/>
      <c r="AE80" s="1354"/>
      <c r="AF80" s="1354"/>
    </row>
    <row r="81" spans="1:32" ht="13" customHeight="1" x14ac:dyDescent="0.15">
      <c r="B81" s="17"/>
      <c r="C81" s="17" t="s">
        <v>791</v>
      </c>
      <c r="D81" s="1095"/>
      <c r="E81" s="1089"/>
      <c r="F81" s="1089"/>
      <c r="G81" s="1089"/>
      <c r="H81" s="1089"/>
      <c r="I81" s="1089"/>
      <c r="J81" s="1363"/>
      <c r="K81" s="1385"/>
      <c r="L81" s="1385"/>
      <c r="M81" s="1385"/>
      <c r="N81" s="1385"/>
      <c r="Z81" s="1354"/>
      <c r="AA81" s="1354"/>
      <c r="AB81" s="1354"/>
      <c r="AC81" s="1354"/>
      <c r="AD81" s="1354"/>
      <c r="AE81" s="1354"/>
      <c r="AF81" s="1354"/>
    </row>
    <row r="82" spans="1:32" ht="13" customHeight="1" thickBot="1" x14ac:dyDescent="0.2">
      <c r="B82" s="17"/>
      <c r="C82" s="17" t="s">
        <v>792</v>
      </c>
      <c r="D82" s="1092"/>
      <c r="E82" s="1093"/>
      <c r="F82" s="1093"/>
      <c r="G82" s="1093"/>
      <c r="H82" s="1093"/>
      <c r="I82" s="1093"/>
      <c r="J82" s="1363" t="s">
        <v>867</v>
      </c>
      <c r="K82" s="1385"/>
      <c r="L82" s="1385"/>
      <c r="M82" s="1385"/>
      <c r="N82" s="1385"/>
      <c r="Z82" s="1354"/>
      <c r="AA82" s="1354"/>
      <c r="AB82" s="1354"/>
      <c r="AC82" s="1354"/>
      <c r="AD82" s="1354"/>
      <c r="AE82" s="1354"/>
      <c r="AF82" s="1354"/>
    </row>
    <row r="83" spans="1:32" ht="13" customHeight="1" thickBot="1" x14ac:dyDescent="0.2">
      <c r="B83" s="14" t="s">
        <v>793</v>
      </c>
      <c r="C83" s="15"/>
      <c r="D83" s="1069">
        <f>D84+D85</f>
        <v>0</v>
      </c>
      <c r="E83" s="1069">
        <f>E84+E85</f>
        <v>0</v>
      </c>
      <c r="F83" s="1069">
        <f>F84+F85</f>
        <v>0</v>
      </c>
      <c r="G83" s="1069">
        <f>G84+G85</f>
        <v>0</v>
      </c>
      <c r="H83" s="1069">
        <v>0</v>
      </c>
      <c r="I83" s="1069">
        <f>I84+I85</f>
        <v>0</v>
      </c>
      <c r="J83" s="1363"/>
      <c r="K83" s="1382"/>
      <c r="L83" s="1382"/>
      <c r="M83" s="1382"/>
      <c r="N83" s="1382">
        <f>N84+N85</f>
        <v>0</v>
      </c>
      <c r="Z83" s="1354"/>
      <c r="AA83" s="1354"/>
      <c r="AB83" s="1354"/>
      <c r="AC83" s="1354"/>
      <c r="AD83" s="1354"/>
      <c r="AE83" s="1354"/>
      <c r="AF83" s="1354"/>
    </row>
    <row r="84" spans="1:32" ht="27.75" customHeight="1" x14ac:dyDescent="0.15">
      <c r="A84" s="10" t="s">
        <v>252</v>
      </c>
      <c r="B84" s="17"/>
      <c r="C84" s="26" t="s">
        <v>264</v>
      </c>
      <c r="D84" s="1073"/>
      <c r="E84" s="1073"/>
      <c r="F84" s="1073"/>
      <c r="G84" s="1073"/>
      <c r="H84" s="1073"/>
      <c r="I84" s="1073"/>
      <c r="J84" s="1363" t="s">
        <v>868</v>
      </c>
      <c r="K84" s="1381"/>
      <c r="L84" s="1381"/>
      <c r="M84" s="1381"/>
      <c r="N84" s="1381"/>
      <c r="Z84" s="1354"/>
      <c r="AA84" s="1354"/>
      <c r="AB84" s="1354"/>
      <c r="AC84" s="1354"/>
      <c r="AD84" s="1354"/>
      <c r="AE84" s="1354"/>
      <c r="AF84" s="1354"/>
    </row>
    <row r="85" spans="1:32" ht="27.75" customHeight="1" thickBot="1" x14ac:dyDescent="0.2">
      <c r="A85" s="10" t="s">
        <v>195</v>
      </c>
      <c r="B85" s="17"/>
      <c r="C85" s="26" t="s">
        <v>194</v>
      </c>
      <c r="D85" s="1075"/>
      <c r="E85" s="1075"/>
      <c r="F85" s="1075"/>
      <c r="G85" s="1075"/>
      <c r="H85" s="1075"/>
      <c r="I85" s="1075"/>
      <c r="J85" s="1363" t="s">
        <v>868</v>
      </c>
      <c r="K85" s="1381"/>
      <c r="L85" s="1381"/>
      <c r="M85" s="1381"/>
      <c r="N85" s="1381"/>
      <c r="Z85" s="1354"/>
      <c r="AA85" s="1354"/>
      <c r="AB85" s="1354"/>
      <c r="AC85" s="1354"/>
      <c r="AD85" s="1354"/>
      <c r="AE85" s="1354"/>
      <c r="AF85" s="1354"/>
    </row>
    <row r="86" spans="1:32" ht="13" customHeight="1" thickBot="1" x14ac:dyDescent="0.2">
      <c r="B86" s="14" t="s">
        <v>794</v>
      </c>
      <c r="C86" s="30"/>
      <c r="D86" s="1096">
        <f t="shared" ref="D86:I86" si="12">D87+D88+D89-D90-D91+D92+D93+D94+D95</f>
        <v>0</v>
      </c>
      <c r="E86" s="1096">
        <f t="shared" si="12"/>
        <v>45584</v>
      </c>
      <c r="F86" s="1096">
        <f t="shared" si="12"/>
        <v>50953.40238</v>
      </c>
      <c r="G86" s="1096">
        <f t="shared" si="12"/>
        <v>50000</v>
      </c>
      <c r="H86" s="1096">
        <f t="shared" si="12"/>
        <v>51043.006000000001</v>
      </c>
      <c r="I86" s="1096">
        <f t="shared" si="12"/>
        <v>0</v>
      </c>
      <c r="J86" s="1363"/>
      <c r="K86" s="1386"/>
      <c r="L86" s="1386"/>
      <c r="M86" s="1386"/>
      <c r="N86" s="1386">
        <f>N87+N88+N89-N90-N91+N92+N93+N94+N95</f>
        <v>0</v>
      </c>
      <c r="Z86" s="1354"/>
      <c r="AA86" s="1354"/>
      <c r="AB86" s="1354"/>
      <c r="AC86" s="1354"/>
      <c r="AD86" s="1354"/>
      <c r="AE86" s="1354"/>
      <c r="AF86" s="1354"/>
    </row>
    <row r="87" spans="1:32" ht="13" customHeight="1" x14ac:dyDescent="0.15">
      <c r="A87" s="10" t="s">
        <v>193</v>
      </c>
      <c r="B87" s="17"/>
      <c r="C87" s="17" t="s">
        <v>795</v>
      </c>
      <c r="D87" s="1080"/>
      <c r="E87" s="1073"/>
      <c r="F87" s="1073"/>
      <c r="G87" s="1073"/>
      <c r="H87" s="1073"/>
      <c r="I87" s="1073"/>
      <c r="J87" s="1363"/>
      <c r="K87" s="1381"/>
      <c r="L87" s="1381"/>
      <c r="M87" s="1381"/>
      <c r="N87" s="1381"/>
      <c r="Z87" s="1354"/>
      <c r="AA87" s="1354"/>
      <c r="AB87" s="1354"/>
      <c r="AC87" s="1354"/>
      <c r="AD87" s="1354"/>
      <c r="AE87" s="1354"/>
      <c r="AF87" s="1354"/>
    </row>
    <row r="88" spans="1:32" ht="13" customHeight="1" x14ac:dyDescent="0.15">
      <c r="A88" s="10" t="s">
        <v>254</v>
      </c>
      <c r="B88" s="17"/>
      <c r="C88" s="17" t="s">
        <v>796</v>
      </c>
      <c r="D88" s="1071"/>
      <c r="E88" s="1071">
        <v>39780.800000000003</v>
      </c>
      <c r="F88" s="1071"/>
      <c r="G88" s="1071"/>
      <c r="H88" s="1071"/>
      <c r="I88" s="1071"/>
      <c r="J88" s="1363"/>
      <c r="K88" s="1381"/>
      <c r="L88" s="1381"/>
      <c r="M88" s="1381"/>
      <c r="N88" s="1381"/>
      <c r="Z88" s="1354"/>
      <c r="AA88" s="1354"/>
      <c r="AB88" s="1354"/>
      <c r="AC88" s="1354"/>
      <c r="AD88" s="1354"/>
      <c r="AE88" s="1354"/>
      <c r="AF88" s="1354"/>
    </row>
    <row r="89" spans="1:32" ht="13" customHeight="1" x14ac:dyDescent="0.15">
      <c r="A89" s="10" t="s">
        <v>255</v>
      </c>
      <c r="B89" s="17"/>
      <c r="C89" s="17" t="s">
        <v>797</v>
      </c>
      <c r="D89" s="1071"/>
      <c r="E89" s="1071">
        <v>5803.2</v>
      </c>
      <c r="F89" s="1071">
        <v>50953.40238</v>
      </c>
      <c r="G89" s="1071">
        <v>50000</v>
      </c>
      <c r="H89" s="1071">
        <v>51043.006000000001</v>
      </c>
      <c r="I89" s="1071">
        <f>+'Saisie passif'!H17</f>
        <v>0</v>
      </c>
      <c r="J89" s="1363"/>
      <c r="K89" s="1381"/>
      <c r="L89" s="1381"/>
      <c r="M89" s="1381"/>
      <c r="N89" s="1381">
        <f>+'Saisie passif'!M17</f>
        <v>0</v>
      </c>
      <c r="Z89" s="1354"/>
      <c r="AA89" s="1354"/>
      <c r="AB89" s="1354"/>
      <c r="AC89" s="1354"/>
      <c r="AD89" s="1354"/>
      <c r="AE89" s="1354"/>
      <c r="AF89" s="1354"/>
    </row>
    <row r="90" spans="1:32" ht="13" customHeight="1" x14ac:dyDescent="0.15">
      <c r="A90" s="10" t="s">
        <v>256</v>
      </c>
      <c r="B90" s="17"/>
      <c r="C90" s="33" t="s">
        <v>798</v>
      </c>
      <c r="D90" s="1082"/>
      <c r="E90" s="1097"/>
      <c r="F90" s="1097"/>
      <c r="G90" s="1097"/>
      <c r="H90" s="1097"/>
      <c r="I90" s="1097"/>
      <c r="J90" s="1363" t="s">
        <v>866</v>
      </c>
      <c r="K90" s="1387"/>
      <c r="L90" s="1387"/>
      <c r="M90" s="1387"/>
      <c r="N90" s="1387"/>
      <c r="Z90" s="1354"/>
      <c r="AA90" s="1354"/>
      <c r="AB90" s="1354"/>
      <c r="AC90" s="1354"/>
      <c r="AD90" s="1354"/>
      <c r="AE90" s="1354"/>
      <c r="AF90" s="1354"/>
    </row>
    <row r="91" spans="1:32" x14ac:dyDescent="0.15">
      <c r="A91" s="10" t="s">
        <v>257</v>
      </c>
      <c r="B91" s="17"/>
      <c r="C91" s="34" t="s">
        <v>203</v>
      </c>
      <c r="D91" s="1082"/>
      <c r="E91" s="1097"/>
      <c r="F91" s="1097"/>
      <c r="G91" s="1097"/>
      <c r="H91" s="1097"/>
      <c r="I91" s="1097"/>
      <c r="J91" s="1363" t="s">
        <v>866</v>
      </c>
      <c r="K91" s="1387"/>
      <c r="L91" s="1387"/>
      <c r="M91" s="1387"/>
      <c r="N91" s="1387"/>
      <c r="Z91" s="1354"/>
      <c r="AA91" s="1354"/>
      <c r="AB91" s="1354"/>
      <c r="AC91" s="1354"/>
      <c r="AD91" s="1354"/>
      <c r="AE91" s="1354"/>
      <c r="AF91" s="1354"/>
    </row>
    <row r="92" spans="1:32" ht="13" customHeight="1" x14ac:dyDescent="0.15">
      <c r="A92" s="10" t="s">
        <v>258</v>
      </c>
      <c r="B92" s="17"/>
      <c r="C92" s="34" t="s">
        <v>799</v>
      </c>
      <c r="D92" s="1082"/>
      <c r="E92" s="1097"/>
      <c r="F92" s="1097"/>
      <c r="G92" s="1097"/>
      <c r="H92" s="1097"/>
      <c r="I92" s="1097"/>
      <c r="J92" s="1363" t="s">
        <v>869</v>
      </c>
      <c r="K92" s="1387"/>
      <c r="L92" s="1387"/>
      <c r="M92" s="1387"/>
      <c r="N92" s="1387"/>
      <c r="Z92" s="1354"/>
      <c r="AA92" s="1354"/>
      <c r="AB92" s="1354"/>
      <c r="AC92" s="1354"/>
      <c r="AD92" s="1354"/>
      <c r="AE92" s="1354"/>
      <c r="AF92" s="1354"/>
    </row>
    <row r="93" spans="1:32" ht="13" customHeight="1" x14ac:dyDescent="0.15">
      <c r="A93" s="10" t="s">
        <v>259</v>
      </c>
      <c r="B93" s="17"/>
      <c r="C93" s="34" t="s">
        <v>800</v>
      </c>
      <c r="D93" s="1082"/>
      <c r="E93" s="1097"/>
      <c r="F93" s="1097"/>
      <c r="G93" s="1097"/>
      <c r="H93" s="1097"/>
      <c r="I93" s="1097"/>
      <c r="J93" s="1363" t="s">
        <v>870</v>
      </c>
      <c r="K93" s="1387"/>
      <c r="L93" s="1387"/>
      <c r="M93" s="1387"/>
      <c r="N93" s="1387"/>
      <c r="Z93" s="1354"/>
      <c r="AA93" s="1354"/>
      <c r="AB93" s="1354"/>
      <c r="AC93" s="1354"/>
      <c r="AD93" s="1354"/>
      <c r="AE93" s="1354"/>
      <c r="AF93" s="1354"/>
    </row>
    <row r="94" spans="1:32" ht="13" customHeight="1" x14ac:dyDescent="0.15">
      <c r="A94" s="10" t="s">
        <v>253</v>
      </c>
      <c r="B94" s="17"/>
      <c r="C94" s="34" t="s">
        <v>801</v>
      </c>
      <c r="D94" s="1082"/>
      <c r="E94" s="1097"/>
      <c r="F94" s="1097"/>
      <c r="G94" s="1097"/>
      <c r="H94" s="1097"/>
      <c r="I94" s="1097"/>
      <c r="J94" s="1363" t="s">
        <v>870</v>
      </c>
      <c r="K94" s="1387"/>
      <c r="L94" s="1387"/>
      <c r="M94" s="1387"/>
      <c r="N94" s="1387"/>
      <c r="Z94" s="1354"/>
      <c r="AA94" s="1354"/>
      <c r="AB94" s="1354"/>
      <c r="AC94" s="1354"/>
      <c r="AD94" s="1354"/>
      <c r="AE94" s="1354"/>
      <c r="AF94" s="1354"/>
    </row>
    <row r="95" spans="1:32" ht="13" customHeight="1" thickBot="1" x14ac:dyDescent="0.2">
      <c r="B95" s="17"/>
      <c r="C95" s="34" t="s">
        <v>804</v>
      </c>
      <c r="D95" s="1083"/>
      <c r="E95" s="1098"/>
      <c r="F95" s="1098"/>
      <c r="G95" s="1098"/>
      <c r="H95" s="1098"/>
      <c r="I95" s="1098"/>
      <c r="J95" s="1363" t="s">
        <v>871</v>
      </c>
      <c r="K95" s="1387"/>
      <c r="L95" s="1387"/>
      <c r="M95" s="1387"/>
      <c r="N95" s="1387"/>
      <c r="Z95" s="1354"/>
      <c r="AA95" s="1354"/>
      <c r="AB95" s="1354"/>
      <c r="AC95" s="1354"/>
      <c r="AD95" s="1354"/>
      <c r="AE95" s="1354"/>
      <c r="AF95" s="1354"/>
    </row>
    <row r="96" spans="1:32" ht="13" customHeight="1" thickBot="1" x14ac:dyDescent="0.2">
      <c r="B96" s="14" t="s">
        <v>805</v>
      </c>
      <c r="C96" s="35"/>
      <c r="D96" s="1099">
        <f t="shared" ref="D96:I96" si="13">D97</f>
        <v>0</v>
      </c>
      <c r="E96" s="1099">
        <f t="shared" si="13"/>
        <v>53383.398999999998</v>
      </c>
      <c r="F96" s="1099">
        <f t="shared" si="13"/>
        <v>78273.740990000006</v>
      </c>
      <c r="G96" s="1099">
        <f t="shared" si="13"/>
        <v>72730.388999999996</v>
      </c>
      <c r="H96" s="1099">
        <f t="shared" si="13"/>
        <v>72730.388999999996</v>
      </c>
      <c r="I96" s="1099">
        <f t="shared" si="13"/>
        <v>0</v>
      </c>
      <c r="J96" s="1363"/>
      <c r="K96" s="1388"/>
      <c r="L96" s="1388"/>
      <c r="M96" s="1388"/>
      <c r="N96" s="1388">
        <f>N97</f>
        <v>0</v>
      </c>
      <c r="Z96" s="1354"/>
      <c r="AA96" s="1354"/>
      <c r="AB96" s="1354"/>
      <c r="AC96" s="1354"/>
      <c r="AD96" s="1354"/>
      <c r="AE96" s="1354"/>
      <c r="AF96" s="1354"/>
    </row>
    <row r="97" spans="1:32" ht="13" customHeight="1" thickBot="1" x14ac:dyDescent="0.2">
      <c r="A97" s="10" t="s">
        <v>257</v>
      </c>
      <c r="B97" s="17"/>
      <c r="C97" s="17" t="s">
        <v>806</v>
      </c>
      <c r="D97" s="1076"/>
      <c r="E97" s="1077">
        <v>53383.398999999998</v>
      </c>
      <c r="F97" s="1077">
        <v>78273.740990000006</v>
      </c>
      <c r="G97" s="1077">
        <v>72730.388999999996</v>
      </c>
      <c r="H97" s="1077">
        <v>72730.388999999996</v>
      </c>
      <c r="I97" s="1350"/>
      <c r="J97" s="1363" t="s">
        <v>872</v>
      </c>
      <c r="K97" s="1381"/>
      <c r="L97" s="1381"/>
      <c r="M97" s="1381"/>
      <c r="N97" s="1381"/>
      <c r="Z97" s="1354"/>
      <c r="AA97" s="1354"/>
      <c r="AB97" s="1354"/>
      <c r="AC97" s="1354"/>
      <c r="AD97" s="1354"/>
      <c r="AE97" s="1354"/>
      <c r="AF97" s="1354"/>
    </row>
    <row r="98" spans="1:32" ht="13" customHeight="1" thickBot="1" x14ac:dyDescent="0.2">
      <c r="B98" s="14" t="s">
        <v>807</v>
      </c>
      <c r="C98" s="15"/>
      <c r="D98" s="1069">
        <f>D99</f>
        <v>0</v>
      </c>
      <c r="E98" s="1069">
        <f>E99</f>
        <v>0</v>
      </c>
      <c r="F98" s="1069">
        <f>F99</f>
        <v>296.01150000000001</v>
      </c>
      <c r="G98" s="1069">
        <f>G99</f>
        <v>0</v>
      </c>
      <c r="H98" s="1069">
        <v>0</v>
      </c>
      <c r="I98" s="1069">
        <f>I99</f>
        <v>0</v>
      </c>
      <c r="J98" s="1363"/>
      <c r="K98" s="1382"/>
      <c r="L98" s="1382"/>
      <c r="M98" s="1382"/>
      <c r="N98" s="1382">
        <f>N99</f>
        <v>0</v>
      </c>
      <c r="Z98" s="1354"/>
      <c r="AA98" s="1354"/>
      <c r="AB98" s="1354"/>
      <c r="AC98" s="1354"/>
      <c r="AD98" s="1354"/>
      <c r="AE98" s="1354"/>
      <c r="AF98" s="1354"/>
    </row>
    <row r="99" spans="1:32" ht="13" customHeight="1" thickBot="1" x14ac:dyDescent="0.2">
      <c r="A99" s="10" t="s">
        <v>260</v>
      </c>
      <c r="B99" s="17"/>
      <c r="C99" s="17" t="s">
        <v>807</v>
      </c>
      <c r="D99" s="1077"/>
      <c r="E99" s="1077"/>
      <c r="F99" s="1077">
        <v>296.01150000000001</v>
      </c>
      <c r="G99" s="1077"/>
      <c r="H99" s="1077"/>
      <c r="I99" s="1350"/>
      <c r="J99" s="1363"/>
      <c r="K99" s="1381"/>
      <c r="L99" s="1381"/>
      <c r="M99" s="1381"/>
      <c r="N99" s="1381"/>
      <c r="Z99" s="1354"/>
      <c r="AA99" s="1354"/>
      <c r="AB99" s="1354"/>
      <c r="AC99" s="1354"/>
      <c r="AD99" s="1354"/>
      <c r="AE99" s="1354"/>
      <c r="AF99" s="1354"/>
    </row>
    <row r="100" spans="1:32" ht="13" customHeight="1" thickBot="1" x14ac:dyDescent="0.2">
      <c r="B100" s="14" t="s">
        <v>808</v>
      </c>
      <c r="C100" s="15"/>
      <c r="D100" s="1069">
        <f t="shared" ref="D100:H100" si="14">D101</f>
        <v>0</v>
      </c>
      <c r="E100" s="1069">
        <f t="shared" si="14"/>
        <v>68995.585999999996</v>
      </c>
      <c r="F100" s="1069">
        <f t="shared" si="14"/>
        <v>205984.72002000001</v>
      </c>
      <c r="G100" s="1069">
        <f t="shared" si="14"/>
        <v>130093.202</v>
      </c>
      <c r="H100" s="1069">
        <f t="shared" si="14"/>
        <v>331432.50400000002</v>
      </c>
      <c r="I100" s="1069">
        <f>I101</f>
        <v>9867.1939999999995</v>
      </c>
      <c r="J100" s="1363"/>
      <c r="K100" s="1382"/>
      <c r="L100" s="1382"/>
      <c r="M100" s="1382"/>
      <c r="N100" s="1382">
        <f>N101</f>
        <v>0</v>
      </c>
      <c r="Z100" s="1354"/>
      <c r="AA100" s="1354"/>
      <c r="AB100" s="1354"/>
      <c r="AC100" s="1354"/>
      <c r="AD100" s="1354"/>
      <c r="AE100" s="1354"/>
      <c r="AF100" s="1354"/>
    </row>
    <row r="101" spans="1:32" ht="13" customHeight="1" thickBot="1" x14ac:dyDescent="0.2">
      <c r="A101" s="10" t="s">
        <v>261</v>
      </c>
      <c r="B101" s="17"/>
      <c r="C101" s="17" t="s">
        <v>809</v>
      </c>
      <c r="D101" s="1077"/>
      <c r="E101" s="1077">
        <v>68995.585999999996</v>
      </c>
      <c r="F101" s="1077">
        <v>205984.72002000001</v>
      </c>
      <c r="G101" s="1077">
        <v>130093.202</v>
      </c>
      <c r="H101" s="1077">
        <v>331432.50400000002</v>
      </c>
      <c r="I101" s="1350">
        <f>+'Saisie passif'!H23</f>
        <v>9867.1939999999995</v>
      </c>
      <c r="J101" s="1363"/>
      <c r="K101" s="1381"/>
      <c r="L101" s="1381"/>
      <c r="M101" s="1381"/>
      <c r="N101" s="1381">
        <f>+'Saisie passif'!M23</f>
        <v>0</v>
      </c>
      <c r="Z101" s="1354"/>
      <c r="AA101" s="1354"/>
      <c r="AB101" s="1354"/>
      <c r="AC101" s="1354"/>
      <c r="AD101" s="1354"/>
      <c r="AE101" s="1354"/>
      <c r="AF101" s="1354"/>
    </row>
    <row r="102" spans="1:32" ht="13" customHeight="1" thickBot="1" x14ac:dyDescent="0.2">
      <c r="B102" s="21" t="s">
        <v>810</v>
      </c>
      <c r="C102" s="23"/>
      <c r="D102" s="1078">
        <f t="shared" ref="D102:I102" si="15">D103+D104+D105+D106+D107+D108+D109+D110+D111</f>
        <v>0</v>
      </c>
      <c r="E102" s="1078">
        <f t="shared" si="15"/>
        <v>87623.951499999996</v>
      </c>
      <c r="F102" s="1078">
        <f t="shared" si="15"/>
        <v>16214.818780000001</v>
      </c>
      <c r="G102" s="1078">
        <f t="shared" si="15"/>
        <v>230249.90599999999</v>
      </c>
      <c r="H102" s="1078">
        <f t="shared" si="15"/>
        <v>44421.924999999996</v>
      </c>
      <c r="I102" s="1078">
        <f t="shared" si="15"/>
        <v>8267.0889999999999</v>
      </c>
      <c r="J102" s="1363"/>
      <c r="K102" s="1382"/>
      <c r="L102" s="1382"/>
      <c r="M102" s="1382"/>
      <c r="N102" s="1382">
        <f>N103+N104+N105+N106+N107+N108+N109+N110+N111</f>
        <v>0</v>
      </c>
      <c r="Z102" s="1354"/>
      <c r="AA102" s="1354"/>
      <c r="AB102" s="1354"/>
      <c r="AC102" s="1354"/>
      <c r="AD102" s="1354"/>
      <c r="AE102" s="1354"/>
      <c r="AF102" s="1354"/>
    </row>
    <row r="103" spans="1:32" ht="13" customHeight="1" x14ac:dyDescent="0.15">
      <c r="A103" s="10" t="s">
        <v>262</v>
      </c>
      <c r="B103" s="17"/>
      <c r="C103" s="17" t="s">
        <v>811</v>
      </c>
      <c r="D103" s="1073"/>
      <c r="E103" s="1073">
        <f>2769.903+12000.61*0.25</f>
        <v>5770.0555000000004</v>
      </c>
      <c r="F103" s="1073">
        <f>338.444+24510.6782*0.25</f>
        <v>6466.11355</v>
      </c>
      <c r="G103" s="1073">
        <f>16022.993</f>
        <v>16022.993</v>
      </c>
      <c r="H103" s="1073">
        <v>14533.487999999999</v>
      </c>
      <c r="I103" s="1073">
        <f>+'Saisie passif'!H24</f>
        <v>2930.9949999999999</v>
      </c>
      <c r="J103" s="1363"/>
      <c r="K103" s="1381"/>
      <c r="L103" s="1381"/>
      <c r="M103" s="1381"/>
      <c r="N103" s="1381">
        <f>+'Saisie passif'!M24</f>
        <v>0</v>
      </c>
      <c r="Z103" s="1354"/>
      <c r="AA103" s="1354"/>
      <c r="AB103" s="1354"/>
      <c r="AC103" s="1354"/>
      <c r="AD103" s="1354"/>
      <c r="AE103" s="1354"/>
      <c r="AF103" s="1354"/>
    </row>
    <row r="104" spans="1:32" ht="13" customHeight="1" x14ac:dyDescent="0.15">
      <c r="A104" s="10" t="s">
        <v>263</v>
      </c>
      <c r="B104" s="17"/>
      <c r="C104" s="17" t="s">
        <v>812</v>
      </c>
      <c r="D104" s="1071"/>
      <c r="E104" s="1071"/>
      <c r="F104" s="1071"/>
      <c r="G104" s="1071"/>
      <c r="H104" s="1071"/>
      <c r="I104" s="1071">
        <f>+'Saisie passif'!H20</f>
        <v>0</v>
      </c>
      <c r="J104" s="1363"/>
      <c r="K104" s="1381"/>
      <c r="L104" s="1381"/>
      <c r="M104" s="1381"/>
      <c r="N104" s="1381">
        <f>+'Saisie passif'!M20</f>
        <v>0</v>
      </c>
      <c r="Z104" s="1354"/>
      <c r="AA104" s="1354"/>
      <c r="AB104" s="1354"/>
      <c r="AC104" s="1354"/>
      <c r="AD104" s="1354"/>
      <c r="AE104" s="1354"/>
      <c r="AF104" s="1354"/>
    </row>
    <row r="105" spans="1:32" ht="27" customHeight="1" x14ac:dyDescent="0.15">
      <c r="A105" s="10" t="s">
        <v>252</v>
      </c>
      <c r="B105" s="17"/>
      <c r="C105" s="26" t="s">
        <v>559</v>
      </c>
      <c r="D105" s="1071"/>
      <c r="E105" s="1071"/>
      <c r="F105" s="1071"/>
      <c r="G105" s="1071"/>
      <c r="H105" s="1071"/>
      <c r="I105" s="1071"/>
      <c r="J105" s="1363"/>
      <c r="K105" s="1381"/>
      <c r="L105" s="1381"/>
      <c r="M105" s="1381"/>
      <c r="N105" s="1381"/>
      <c r="Z105" s="1354"/>
      <c r="AA105" s="1354"/>
      <c r="AB105" s="1354"/>
      <c r="AC105" s="1354"/>
      <c r="AD105" s="1354"/>
      <c r="AE105" s="1354"/>
      <c r="AF105" s="1354"/>
    </row>
    <row r="106" spans="1:32" ht="13" customHeight="1" x14ac:dyDescent="0.15">
      <c r="A106" s="10" t="s">
        <v>196</v>
      </c>
      <c r="B106" s="17"/>
      <c r="C106" s="17" t="s">
        <v>813</v>
      </c>
      <c r="D106" s="1071"/>
      <c r="E106" s="1071"/>
      <c r="F106" s="1071"/>
      <c r="G106" s="1071"/>
      <c r="H106" s="1071"/>
      <c r="I106" s="1071"/>
      <c r="J106" s="1363"/>
      <c r="K106" s="1381"/>
      <c r="L106" s="1381"/>
      <c r="M106" s="1381"/>
      <c r="N106" s="1381"/>
      <c r="Z106" s="1354"/>
      <c r="AA106" s="1354"/>
      <c r="AB106" s="1354"/>
      <c r="AC106" s="1354"/>
      <c r="AD106" s="1354"/>
      <c r="AE106" s="1354"/>
      <c r="AF106" s="1354"/>
    </row>
    <row r="107" spans="1:32" ht="13" customHeight="1" x14ac:dyDescent="0.15">
      <c r="A107" s="10" t="s">
        <v>265</v>
      </c>
      <c r="B107" s="17"/>
      <c r="C107" s="17" t="s">
        <v>814</v>
      </c>
      <c r="D107" s="1071"/>
      <c r="E107" s="1071"/>
      <c r="F107" s="1071"/>
      <c r="G107" s="1071"/>
      <c r="H107" s="1071"/>
      <c r="I107" s="1071"/>
      <c r="J107" s="1363"/>
      <c r="K107" s="1381"/>
      <c r="L107" s="1381"/>
      <c r="M107" s="1381"/>
      <c r="N107" s="1381"/>
      <c r="Z107" s="1354"/>
      <c r="AA107" s="1354"/>
      <c r="AB107" s="1354"/>
      <c r="AC107" s="1354"/>
      <c r="AD107" s="1354"/>
      <c r="AE107" s="1354"/>
      <c r="AF107" s="1354"/>
    </row>
    <row r="108" spans="1:32" x14ac:dyDescent="0.15">
      <c r="A108" s="10" t="s">
        <v>266</v>
      </c>
      <c r="B108" s="17"/>
      <c r="C108" s="20" t="s">
        <v>204</v>
      </c>
      <c r="D108" s="1071"/>
      <c r="E108" s="1071">
        <v>79387.544999999998</v>
      </c>
      <c r="F108" s="1071">
        <v>9720.4165900000007</v>
      </c>
      <c r="G108" s="1071">
        <f>211716.256</f>
        <v>211716.25599999999</v>
      </c>
      <c r="H108" s="1071">
        <f>101774.578-H97</f>
        <v>29044.188999999998</v>
      </c>
      <c r="I108" s="1071">
        <f>+'Saisie passif'!H19+'Saisie passif'!H25</f>
        <v>646.67700000000002</v>
      </c>
      <c r="J108" s="1363" t="s">
        <v>873</v>
      </c>
      <c r="K108" s="1381"/>
      <c r="L108" s="1381"/>
      <c r="M108" s="1381"/>
      <c r="N108" s="1381">
        <f>+'Saisie passif'!M19+'Saisie passif'!M25</f>
        <v>0</v>
      </c>
      <c r="Z108" s="1354"/>
      <c r="AA108" s="1354"/>
      <c r="AB108" s="1354"/>
      <c r="AC108" s="1354"/>
      <c r="AD108" s="1354"/>
      <c r="AE108" s="1354"/>
      <c r="AF108" s="1354"/>
    </row>
    <row r="109" spans="1:32" ht="13" customHeight="1" x14ac:dyDescent="0.15">
      <c r="A109" s="10" t="s">
        <v>267</v>
      </c>
      <c r="B109" s="17"/>
      <c r="C109" s="17" t="s">
        <v>815</v>
      </c>
      <c r="D109" s="1090"/>
      <c r="E109" s="1091">
        <v>2466.3510000000001</v>
      </c>
      <c r="F109" s="1091">
        <v>28.288640000000001</v>
      </c>
      <c r="G109" s="1091">
        <v>2510.6570000000002</v>
      </c>
      <c r="H109" s="1091"/>
      <c r="I109" s="1091"/>
      <c r="J109" s="1363"/>
      <c r="K109" s="1385"/>
      <c r="L109" s="1385"/>
      <c r="M109" s="1385"/>
      <c r="N109" s="1385"/>
      <c r="Z109" s="1354"/>
      <c r="AA109" s="1354"/>
      <c r="AB109" s="1354"/>
      <c r="AC109" s="1354"/>
      <c r="AD109" s="1354"/>
      <c r="AE109" s="1354"/>
      <c r="AF109" s="1354"/>
    </row>
    <row r="110" spans="1:32" ht="13" customHeight="1" x14ac:dyDescent="0.15">
      <c r="A110" s="10" t="s">
        <v>268</v>
      </c>
      <c r="B110" s="17"/>
      <c r="C110" s="17" t="s">
        <v>816</v>
      </c>
      <c r="D110" s="1070"/>
      <c r="E110" s="1071"/>
      <c r="F110" s="1071"/>
      <c r="G110" s="1071"/>
      <c r="H110" s="1071"/>
      <c r="I110" s="1071"/>
      <c r="J110" s="1363" t="s">
        <v>874</v>
      </c>
      <c r="K110" s="1381"/>
      <c r="L110" s="1381"/>
      <c r="M110" s="1381"/>
      <c r="N110" s="1381"/>
      <c r="Z110" s="1354"/>
      <c r="AA110" s="1354"/>
      <c r="AB110" s="1354"/>
      <c r="AC110" s="1354"/>
      <c r="AD110" s="1354"/>
      <c r="AE110" s="1354"/>
      <c r="AF110" s="1354"/>
    </row>
    <row r="111" spans="1:32" ht="13" customHeight="1" thickBot="1" x14ac:dyDescent="0.2">
      <c r="B111" s="17"/>
      <c r="C111" s="17" t="s">
        <v>817</v>
      </c>
      <c r="D111" s="1083"/>
      <c r="E111" s="1075"/>
      <c r="F111" s="1075"/>
      <c r="G111" s="1075"/>
      <c r="H111" s="1075">
        <v>844.24800000000005</v>
      </c>
      <c r="I111" s="1075">
        <f>+'Saisie passif'!H18</f>
        <v>4689.4170000000004</v>
      </c>
      <c r="J111" s="1363"/>
      <c r="K111" s="1381"/>
      <c r="L111" s="1381"/>
      <c r="M111" s="1381"/>
      <c r="N111" s="1381">
        <f>+'Saisie passif'!M18</f>
        <v>0</v>
      </c>
      <c r="Z111" s="1354"/>
      <c r="AA111" s="1354"/>
      <c r="AB111" s="1354"/>
      <c r="AC111" s="1354"/>
      <c r="AD111" s="1354"/>
      <c r="AE111" s="1354"/>
      <c r="AF111" s="1354"/>
    </row>
    <row r="112" spans="1:32" ht="13" customHeight="1" thickBot="1" x14ac:dyDescent="0.2">
      <c r="B112" s="14" t="s">
        <v>818</v>
      </c>
      <c r="C112" s="15"/>
      <c r="D112" s="1069">
        <f t="shared" ref="D112:H112" si="16">D113</f>
        <v>0</v>
      </c>
      <c r="E112" s="1069">
        <f t="shared" si="16"/>
        <v>36801.173000000003</v>
      </c>
      <c r="F112" s="1069">
        <f t="shared" si="16"/>
        <v>188896.5583</v>
      </c>
      <c r="G112" s="1069">
        <f t="shared" si="16"/>
        <v>167884.05300000001</v>
      </c>
      <c r="H112" s="1069">
        <f t="shared" si="16"/>
        <v>451915.45899999997</v>
      </c>
      <c r="I112" s="1069">
        <f>I113</f>
        <v>4098.5600000000004</v>
      </c>
      <c r="J112" s="1363"/>
      <c r="K112" s="1382"/>
      <c r="L112" s="1382"/>
      <c r="M112" s="1382"/>
      <c r="N112" s="1382">
        <f>N113</f>
        <v>0</v>
      </c>
      <c r="Z112" s="1354"/>
      <c r="AA112" s="1354"/>
      <c r="AB112" s="1354"/>
      <c r="AC112" s="1354"/>
      <c r="AD112" s="1354"/>
      <c r="AE112" s="1354"/>
      <c r="AF112" s="1354"/>
    </row>
    <row r="113" spans="1:32" ht="13" customHeight="1" thickBot="1" x14ac:dyDescent="0.2">
      <c r="A113" s="10" t="s">
        <v>256</v>
      </c>
      <c r="B113" s="17"/>
      <c r="C113" s="17" t="s">
        <v>819</v>
      </c>
      <c r="D113" s="1077"/>
      <c r="E113" s="1077">
        <v>36801.173000000003</v>
      </c>
      <c r="F113" s="1077">
        <v>188896.5583</v>
      </c>
      <c r="G113" s="1077">
        <v>167884.05300000001</v>
      </c>
      <c r="H113" s="1077">
        <v>451915.45899999997</v>
      </c>
      <c r="I113" s="1350">
        <f>+'Saisie passif'!H26</f>
        <v>4098.5600000000004</v>
      </c>
      <c r="J113" s="1363" t="s">
        <v>866</v>
      </c>
      <c r="K113" s="1381"/>
      <c r="L113" s="1381"/>
      <c r="M113" s="1381"/>
      <c r="N113" s="1381">
        <f>+'Saisie passif'!M26</f>
        <v>0</v>
      </c>
      <c r="Z113" s="1354"/>
      <c r="AA113" s="1354"/>
      <c r="AB113" s="1354"/>
      <c r="AC113" s="1354"/>
      <c r="AD113" s="1354"/>
      <c r="AE113" s="1354"/>
      <c r="AF113" s="1354"/>
    </row>
    <row r="114" spans="1:32" ht="13" customHeight="1" thickBot="1" x14ac:dyDescent="0.2">
      <c r="B114" s="36" t="s">
        <v>820</v>
      </c>
      <c r="C114" s="37"/>
      <c r="D114" s="38"/>
      <c r="E114" s="38"/>
      <c r="F114" s="38"/>
      <c r="G114" s="38"/>
      <c r="H114" s="38"/>
      <c r="I114" s="38"/>
      <c r="J114" s="1368"/>
      <c r="K114" s="1389"/>
      <c r="L114" s="1389"/>
      <c r="M114" s="1389"/>
      <c r="N114" s="1389"/>
      <c r="Z114" s="1354"/>
      <c r="AA114" s="1354"/>
      <c r="AB114" s="1354"/>
      <c r="AC114" s="1354"/>
      <c r="AD114" s="1354"/>
      <c r="AE114" s="1354"/>
      <c r="AF114" s="1354"/>
    </row>
    <row r="115" spans="1:32" ht="13" customHeight="1" x14ac:dyDescent="0.15">
      <c r="A115" s="10" t="s">
        <v>269</v>
      </c>
      <c r="B115" s="17"/>
      <c r="C115" s="17" t="s">
        <v>833</v>
      </c>
      <c r="D115" s="1079"/>
      <c r="E115" s="1080"/>
      <c r="F115" s="1073"/>
      <c r="G115" s="1073"/>
      <c r="H115" s="1073"/>
      <c r="I115" s="1073"/>
      <c r="J115" s="1363" t="s">
        <v>866</v>
      </c>
      <c r="K115" s="1381"/>
      <c r="L115" s="1381"/>
      <c r="M115" s="1381"/>
      <c r="N115" s="1381"/>
      <c r="Z115" s="1354"/>
      <c r="AA115" s="1354"/>
      <c r="AB115" s="1354"/>
      <c r="AC115" s="1354"/>
      <c r="AD115" s="1354"/>
      <c r="AE115" s="1354"/>
      <c r="AF115" s="1354"/>
    </row>
    <row r="116" spans="1:32" ht="13" customHeight="1" x14ac:dyDescent="0.15">
      <c r="A116" s="10" t="s">
        <v>270</v>
      </c>
      <c r="B116" s="17"/>
      <c r="C116" s="17" t="s">
        <v>834</v>
      </c>
      <c r="D116" s="1080"/>
      <c r="E116" s="1070"/>
      <c r="F116" s="1071"/>
      <c r="G116" s="1071">
        <v>16633.221000000001</v>
      </c>
      <c r="H116" s="1071">
        <v>12000</v>
      </c>
      <c r="I116" s="1071">
        <v>12000</v>
      </c>
      <c r="J116" s="1363" t="s">
        <v>866</v>
      </c>
      <c r="K116" s="1381"/>
      <c r="L116" s="1381"/>
      <c r="M116" s="1381"/>
      <c r="N116" s="1381"/>
      <c r="O116" s="1354"/>
      <c r="P116" s="1362"/>
      <c r="Q116" s="1362"/>
      <c r="Z116" s="1354"/>
      <c r="AA116" s="1354"/>
      <c r="AB116" s="1354"/>
      <c r="AC116" s="1354"/>
      <c r="AD116" s="1354"/>
      <c r="AE116" s="1354"/>
      <c r="AF116" s="1354"/>
    </row>
    <row r="117" spans="1:32" ht="13" customHeight="1" x14ac:dyDescent="0.15">
      <c r="B117" s="39"/>
      <c r="C117" s="39" t="s">
        <v>835</v>
      </c>
      <c r="D117" s="1074"/>
      <c r="E117" s="1074"/>
      <c r="F117" s="1075"/>
      <c r="G117" s="1075"/>
      <c r="H117" s="1075"/>
      <c r="I117" s="1075"/>
      <c r="J117" s="1363" t="s">
        <v>866</v>
      </c>
      <c r="K117" s="1381"/>
      <c r="L117" s="1381"/>
      <c r="M117" s="1381"/>
      <c r="N117" s="1381"/>
      <c r="O117" s="1354"/>
      <c r="P117" s="1362"/>
      <c r="Q117" s="1362"/>
      <c r="Z117" s="1354"/>
      <c r="AA117" s="1354"/>
      <c r="AB117" s="1354"/>
      <c r="AC117" s="1354"/>
      <c r="AD117" s="1354"/>
      <c r="AE117" s="1354"/>
      <c r="AF117" s="1354"/>
    </row>
    <row r="118" spans="1:32" ht="13" customHeight="1" x14ac:dyDescent="0.15">
      <c r="B118" s="40" t="s">
        <v>836</v>
      </c>
      <c r="C118" s="40"/>
      <c r="D118" s="41" t="e">
        <f>IF(AND(#REF!=0,#REF!=0),"",IF(AND((#REF!-#REF!)&gt;=-0.1,(#REF!-#REF!)&lt;=0.1),"OK","Erreur!"))</f>
        <v>#REF!</v>
      </c>
      <c r="E118" s="41" t="str">
        <f>IF(AND(N120=0,N122=0),"",IF(AND((N120-N122)&gt;=-0.1,(N120-N122)&lt;=0.1),"OK","Erreur!"))</f>
        <v/>
      </c>
      <c r="F118" s="41" t="str">
        <f>IF(AND(O120=0,O122=0),"",IF(AND((O120-O122)&gt;=-0.1,(O120-O122)&lt;=0.1),"OK","Erreur!"))</f>
        <v>OK</v>
      </c>
      <c r="G118" s="41" t="str">
        <f>IF(AND(P120=0,P122=0),"",IF(AND((P120-P122)&gt;=-0.1,(P120-P122)&lt;=0.1),"OK","Erreur!"))</f>
        <v>OK</v>
      </c>
      <c r="H118" s="41" t="str">
        <f>IF(AND(Q120=0,Q122=0),"",IF(AND((Q120-Q122)&gt;=-0.1,(Q120-Q122)&lt;=0.1),"OK","Erreur!"))</f>
        <v>OK</v>
      </c>
      <c r="I118" s="41" t="str">
        <f>IF(AND(R120=0,R122=0),"",IF(AND((R120-R122)&gt;=-0.1,(R120-R122)&lt;=0.1),"OK","Erreur!"))</f>
        <v>Erreur!</v>
      </c>
      <c r="J118" s="1363" t="s">
        <v>875</v>
      </c>
      <c r="K118" s="1390"/>
      <c r="L118" s="1390"/>
      <c r="M118" s="1390"/>
      <c r="N118" s="1390" t="str">
        <f>IF(AND(AB120=0,AB122=0),"",IF(AND((AB120-AB122)&gt;=-0.1,(AB120-AB122)&lt;=0.1),"OK","Erreur!"))</f>
        <v/>
      </c>
      <c r="O118" s="1356"/>
      <c r="P118" s="1356"/>
      <c r="Q118" s="1356"/>
      <c r="R118" s="1356"/>
      <c r="Z118" s="1354"/>
      <c r="AA118" s="1354"/>
      <c r="AB118" s="1354"/>
      <c r="AC118" s="1354"/>
      <c r="AD118" s="1354"/>
      <c r="AE118" s="1354"/>
      <c r="AF118" s="1354"/>
    </row>
    <row r="119" spans="1:32" ht="13" customHeight="1" x14ac:dyDescent="0.15">
      <c r="B119" s="43" t="s">
        <v>837</v>
      </c>
      <c r="C119" s="44"/>
      <c r="D119" s="45" t="e">
        <f>IF(D118="Erreur!",#REF!-#REF!,"")</f>
        <v>#REF!</v>
      </c>
      <c r="E119" s="45" t="str">
        <f>IF(E118="Erreur!",N120-N122,"")</f>
        <v/>
      </c>
      <c r="F119" s="45" t="str">
        <f>IF(F118="Erreur!",O120-O122,"")</f>
        <v/>
      </c>
      <c r="G119" s="45" t="str">
        <f>IF(G118="Erreur!",P120-P122,"")</f>
        <v/>
      </c>
      <c r="H119" s="45" t="str">
        <f>IF(H118="Erreur!",Q120-Q122,"")</f>
        <v/>
      </c>
      <c r="I119" s="45">
        <f>IF(I118="Erreur!",R120-R122,"")</f>
        <v>-35109.021000000022</v>
      </c>
      <c r="J119" s="1363"/>
      <c r="K119" s="1391"/>
      <c r="L119" s="1391"/>
      <c r="M119" s="1391"/>
      <c r="N119" s="1391" t="str">
        <f>IF(N118="Erreur!",AB120-AB122,"")</f>
        <v/>
      </c>
      <c r="O119" s="1357">
        <f>F3</f>
        <v>39783</v>
      </c>
      <c r="P119" s="1357">
        <f>G3</f>
        <v>40178</v>
      </c>
      <c r="Q119" s="1357">
        <f>H3</f>
        <v>40543</v>
      </c>
      <c r="R119" s="1357">
        <f>I3</f>
        <v>46022</v>
      </c>
      <c r="Z119" s="1354"/>
      <c r="AA119" s="1354"/>
      <c r="AB119" s="1354"/>
      <c r="AC119" s="1354"/>
      <c r="AD119" s="1354"/>
      <c r="AE119" s="1354"/>
      <c r="AF119" s="1354"/>
    </row>
    <row r="120" spans="1:32" ht="13" customHeight="1" x14ac:dyDescent="0.15">
      <c r="A120" s="10" t="s">
        <v>271</v>
      </c>
      <c r="B120" s="46" t="s">
        <v>838</v>
      </c>
      <c r="C120" s="47"/>
      <c r="D120" s="1100"/>
      <c r="E120" s="1100">
        <v>416226.91200000001</v>
      </c>
      <c r="F120" s="1100">
        <f>33401.06265+684530.11092+35.5</f>
        <v>717966.67356999998</v>
      </c>
      <c r="G120" s="1100">
        <f>118886.02+788873.802+36</f>
        <v>907795.82200000004</v>
      </c>
      <c r="H120" s="1100">
        <v>1616204.6810000001</v>
      </c>
      <c r="I120" s="1100">
        <f>+'Saisie TCR'!N12</f>
        <v>223276.08499999999</v>
      </c>
      <c r="J120" s="1363"/>
      <c r="K120" s="1392"/>
      <c r="L120" s="1392"/>
      <c r="M120" s="1392"/>
      <c r="N120" s="1392">
        <f>+'Saisie TCR'!S12</f>
        <v>0</v>
      </c>
      <c r="O120" s="1358">
        <f>(F4-F10+F13-F15+F17+F20+F33+F37+F46+F49+F58+F62)</f>
        <v>646090.27068000007</v>
      </c>
      <c r="P120" s="1358">
        <f>(G4-G10+G13-G15+G17+G20+G33+G37+G46+G49+G58+G62)</f>
        <v>777771.80200000003</v>
      </c>
      <c r="Q120" s="1358">
        <f>(H4-H10+H13-H15+H17+H20+H33+H37+H46+H49+H58+H62)</f>
        <v>1108587.3430000001</v>
      </c>
      <c r="R120" s="1358">
        <f>(I4-I10+I13-I15+I17+I20+I33+I37+I46+I49+I58+I62)</f>
        <v>85067.426999999981</v>
      </c>
      <c r="Z120" s="1354"/>
      <c r="AA120" s="1354"/>
      <c r="AB120" s="1354"/>
      <c r="AC120" s="1354"/>
      <c r="AD120" s="1354"/>
      <c r="AE120" s="1354"/>
      <c r="AF120" s="1354"/>
    </row>
    <row r="121" spans="1:32" ht="13" customHeight="1" x14ac:dyDescent="0.15">
      <c r="A121" s="10" t="s">
        <v>826</v>
      </c>
      <c r="B121" s="1128" t="s">
        <v>827</v>
      </c>
      <c r="C121" s="24"/>
      <c r="D121" s="1185"/>
      <c r="E121" s="1185"/>
      <c r="F121" s="1185"/>
      <c r="G121" s="1185"/>
      <c r="H121" s="1185"/>
      <c r="I121" s="1185"/>
      <c r="J121" s="1363"/>
      <c r="K121" s="1393"/>
      <c r="L121" s="1393"/>
      <c r="M121" s="1393"/>
      <c r="N121" s="1393"/>
      <c r="O121" s="1358"/>
      <c r="P121" s="1358"/>
      <c r="Q121" s="1358"/>
      <c r="R121" s="1358"/>
      <c r="Z121" s="1354"/>
      <c r="AA121" s="1354"/>
      <c r="AB121" s="1354"/>
      <c r="AC121" s="1354"/>
      <c r="AD121" s="1354"/>
      <c r="AE121" s="1354"/>
      <c r="AF121" s="1354"/>
    </row>
    <row r="122" spans="1:32" ht="13" customHeight="1" x14ac:dyDescent="0.15">
      <c r="A122" s="10" t="s">
        <v>272</v>
      </c>
      <c r="B122" s="17" t="s">
        <v>839</v>
      </c>
      <c r="C122" s="17"/>
      <c r="D122" s="1091"/>
      <c r="E122" s="1091"/>
      <c r="F122" s="1091"/>
      <c r="G122" s="1091">
        <v>17182.754000000001</v>
      </c>
      <c r="H122" s="1091">
        <v>231.15</v>
      </c>
      <c r="I122" s="1091">
        <f>+IF('Saisie TCR'!M13=0,'Saisie TCR'!N13,'Saisie TCR'!M13)</f>
        <v>0</v>
      </c>
      <c r="J122" s="1369" t="s">
        <v>876</v>
      </c>
      <c r="K122" s="1385"/>
      <c r="L122" s="1385"/>
      <c r="M122" s="1385"/>
      <c r="N122" s="1385">
        <f>+IF('Saisie TCR'!R13=0,'Saisie TCR'!S13,'Saisie TCR'!R13)</f>
        <v>0</v>
      </c>
      <c r="O122" s="1358">
        <f>(F67+F71+F77+F80+F83+F86+F96+F98+F100+F102+F112)</f>
        <v>646090.26768000005</v>
      </c>
      <c r="P122" s="1358">
        <f>(G67+G71+G77+G80+G83+G86+G96+G98+G100+G102+G112)</f>
        <v>777771.80099999998</v>
      </c>
      <c r="Q122" s="1358">
        <f>(H67+H71+H77+H80+H83+H86+H96+H98+H100+H102+H112)</f>
        <v>1108587.3360000001</v>
      </c>
      <c r="R122" s="1358">
        <f>(I67+I71+I77+I80+I83+I86+I96+I98+I100+I102+I112)</f>
        <v>120176.448</v>
      </c>
      <c r="Z122" s="1354"/>
      <c r="AA122" s="1354"/>
      <c r="AB122" s="1354"/>
      <c r="AC122" s="1354"/>
      <c r="AD122" s="1354"/>
      <c r="AE122" s="1354"/>
      <c r="AF122" s="1354"/>
    </row>
    <row r="123" spans="1:32" ht="13" customHeight="1" x14ac:dyDescent="0.15">
      <c r="A123" s="10" t="s">
        <v>273</v>
      </c>
      <c r="B123" s="17" t="s">
        <v>840</v>
      </c>
      <c r="C123" s="17"/>
      <c r="D123" s="1071"/>
      <c r="E123" s="1071"/>
      <c r="F123" s="1071"/>
      <c r="G123" s="1071"/>
      <c r="H123" s="1071"/>
      <c r="I123" s="1071">
        <f>+IF('Saisie TCR'!M14=0,'Saisie TCR'!N14,'Saisie TCR'!M14)</f>
        <v>0</v>
      </c>
      <c r="J123" s="1363"/>
      <c r="K123" s="1381"/>
      <c r="L123" s="1381"/>
      <c r="M123" s="1381"/>
      <c r="N123" s="1381">
        <f>+IF('Saisie TCR'!R14=0,'Saisie TCR'!S14,'Saisie TCR'!R14)</f>
        <v>0</v>
      </c>
      <c r="Z123" s="1354"/>
      <c r="AA123" s="1354"/>
      <c r="AB123" s="1354"/>
      <c r="AC123" s="1354"/>
      <c r="AD123" s="1354"/>
      <c r="AE123" s="1354"/>
      <c r="AF123" s="1354"/>
    </row>
    <row r="124" spans="1:32" ht="13" customHeight="1" thickBot="1" x14ac:dyDescent="0.2">
      <c r="A124" s="10" t="s">
        <v>274</v>
      </c>
      <c r="B124" s="17" t="s">
        <v>841</v>
      </c>
      <c r="C124" s="17"/>
      <c r="D124" s="1075"/>
      <c r="E124" s="1075"/>
      <c r="F124" s="1075"/>
      <c r="G124" s="1075">
        <v>2281.665</v>
      </c>
      <c r="H124" s="1075">
        <v>621.11800000000005</v>
      </c>
      <c r="I124" s="1075">
        <f>+'Saisie TCR'!N15+'Saisie TCR'!N39</f>
        <v>108.803</v>
      </c>
      <c r="J124" s="1363"/>
      <c r="K124" s="1381"/>
      <c r="L124" s="1381"/>
      <c r="M124" s="1381"/>
      <c r="N124" s="1381">
        <f>+'Saisie TCR'!S15+'Saisie TCR'!S39</f>
        <v>0</v>
      </c>
      <c r="O124" s="1359"/>
      <c r="Z124" s="1354"/>
      <c r="AA124" s="1354"/>
      <c r="AB124" s="1354"/>
      <c r="AC124" s="1354"/>
      <c r="AD124" s="1354"/>
      <c r="AE124" s="1354"/>
      <c r="AF124" s="1354"/>
    </row>
    <row r="125" spans="1:32" ht="13" customHeight="1" thickBot="1" x14ac:dyDescent="0.2">
      <c r="B125" s="48" t="s">
        <v>842</v>
      </c>
      <c r="C125" s="23"/>
      <c r="D125" s="1078">
        <f t="shared" ref="D125:I125" si="17">D120+D122+D123+D124</f>
        <v>0</v>
      </c>
      <c r="E125" s="1078">
        <f t="shared" si="17"/>
        <v>416226.91200000001</v>
      </c>
      <c r="F125" s="1078">
        <f t="shared" si="17"/>
        <v>717966.67356999998</v>
      </c>
      <c r="G125" s="1078">
        <f t="shared" si="17"/>
        <v>927260.24100000004</v>
      </c>
      <c r="H125" s="1078">
        <f t="shared" si="17"/>
        <v>1617056.949</v>
      </c>
      <c r="I125" s="1078">
        <f t="shared" si="17"/>
        <v>223384.88800000001</v>
      </c>
      <c r="J125" s="1363"/>
      <c r="K125" s="1382"/>
      <c r="L125" s="1382"/>
      <c r="M125" s="1382"/>
      <c r="N125" s="1382">
        <f>N120+N122+N123+N124</f>
        <v>0</v>
      </c>
      <c r="O125" s="1359"/>
      <c r="Z125" s="1354"/>
      <c r="AA125" s="1354"/>
      <c r="AB125" s="1354"/>
      <c r="AC125" s="1354"/>
      <c r="AD125" s="1354"/>
      <c r="AE125" s="1354"/>
      <c r="AF125" s="1354"/>
    </row>
    <row r="126" spans="1:32" ht="13" customHeight="1" thickBot="1" x14ac:dyDescent="0.2">
      <c r="B126" s="49" t="s">
        <v>843</v>
      </c>
      <c r="C126" s="15"/>
      <c r="D126" s="1069">
        <f t="shared" ref="D126:H126" si="18">D127+D128+D129</f>
        <v>0</v>
      </c>
      <c r="E126" s="1069">
        <f t="shared" si="18"/>
        <v>365232.28600000002</v>
      </c>
      <c r="F126" s="1069">
        <f t="shared" si="18"/>
        <v>639351.22713000001</v>
      </c>
      <c r="G126" s="1069">
        <f t="shared" si="18"/>
        <v>765768.85899999994</v>
      </c>
      <c r="H126" s="1069">
        <f t="shared" si="18"/>
        <v>1379090.4569999999</v>
      </c>
      <c r="I126" s="1069">
        <f>I127+I128+I129</f>
        <v>153580.20499999999</v>
      </c>
      <c r="J126" s="1363"/>
      <c r="K126" s="1382"/>
      <c r="L126" s="1382"/>
      <c r="M126" s="1382"/>
      <c r="N126" s="1382">
        <f>N127+N128+N129</f>
        <v>0</v>
      </c>
      <c r="Z126" s="1354"/>
      <c r="AA126" s="1354"/>
      <c r="AB126" s="1354"/>
      <c r="AC126" s="1354"/>
      <c r="AD126" s="1354"/>
      <c r="AE126" s="1354"/>
      <c r="AF126" s="1354"/>
    </row>
    <row r="127" spans="1:32" ht="13" customHeight="1" x14ac:dyDescent="0.15">
      <c r="A127" s="10" t="s">
        <v>275</v>
      </c>
      <c r="B127" s="17"/>
      <c r="C127" s="17" t="s">
        <v>844</v>
      </c>
      <c r="D127" s="1073"/>
      <c r="E127" s="1073">
        <v>365232.28600000002</v>
      </c>
      <c r="F127" s="1073">
        <v>27834.218870000001</v>
      </c>
      <c r="G127" s="1073">
        <v>106324.52899999999</v>
      </c>
      <c r="H127" s="1073">
        <v>92313.694000000003</v>
      </c>
      <c r="I127" s="1073">
        <f>+'Saisie TCR'!M17</f>
        <v>0</v>
      </c>
      <c r="J127" s="1363"/>
      <c r="K127" s="1381"/>
      <c r="L127" s="1381"/>
      <c r="M127" s="1381"/>
      <c r="N127" s="1381">
        <f>+'Saisie TCR'!R17</f>
        <v>0</v>
      </c>
      <c r="Z127" s="1354"/>
      <c r="AA127" s="1354"/>
      <c r="AB127" s="1354"/>
      <c r="AC127" s="1354"/>
      <c r="AD127" s="1354"/>
      <c r="AE127" s="1354"/>
      <c r="AF127" s="1354"/>
    </row>
    <row r="128" spans="1:32" ht="13" customHeight="1" x14ac:dyDescent="0.15">
      <c r="A128" s="10" t="s">
        <v>276</v>
      </c>
      <c r="B128" s="17"/>
      <c r="C128" s="17" t="s">
        <v>845</v>
      </c>
      <c r="D128" s="1071"/>
      <c r="E128" s="1071"/>
      <c r="F128" s="1071">
        <v>611517.00826000003</v>
      </c>
      <c r="G128" s="1071">
        <v>653499.99</v>
      </c>
      <c r="H128" s="1071">
        <v>1286776.763</v>
      </c>
      <c r="I128" s="1071">
        <f>+'Saisie TCR'!M18+'Saisie TCR'!M19</f>
        <v>150424.326</v>
      </c>
      <c r="J128" s="1363"/>
      <c r="K128" s="1381"/>
      <c r="L128" s="1381"/>
      <c r="M128" s="1381"/>
      <c r="N128" s="1381">
        <f>+'Saisie TCR'!R18+'Saisie TCR'!R19</f>
        <v>0</v>
      </c>
      <c r="Z128" s="1354"/>
      <c r="AA128" s="1354"/>
      <c r="AB128" s="1354"/>
      <c r="AC128" s="1354"/>
      <c r="AD128" s="1354"/>
      <c r="AE128" s="1354"/>
      <c r="AF128" s="1354"/>
    </row>
    <row r="129" spans="1:32" ht="13" customHeight="1" thickBot="1" x14ac:dyDescent="0.2">
      <c r="A129" s="10" t="s">
        <v>277</v>
      </c>
      <c r="B129" s="17"/>
      <c r="C129" s="17" t="s">
        <v>846</v>
      </c>
      <c r="D129" s="1074"/>
      <c r="E129" s="1075"/>
      <c r="F129" s="1075"/>
      <c r="G129" s="1075">
        <v>5944.34</v>
      </c>
      <c r="H129" s="1075"/>
      <c r="I129" s="1075">
        <f>+'Saisie TCR'!M24</f>
        <v>3155.8789999999999</v>
      </c>
      <c r="J129" s="1363" t="s">
        <v>877</v>
      </c>
      <c r="K129" s="1381"/>
      <c r="L129" s="1381"/>
      <c r="M129" s="1381"/>
      <c r="N129" s="1381">
        <f>+'Saisie TCR'!R24</f>
        <v>0</v>
      </c>
      <c r="Z129" s="1354"/>
      <c r="AA129" s="1354"/>
      <c r="AB129" s="1354"/>
      <c r="AC129" s="1354"/>
      <c r="AD129" s="1354"/>
      <c r="AE129" s="1354"/>
      <c r="AF129" s="1354"/>
    </row>
    <row r="130" spans="1:32" ht="13" customHeight="1" thickBot="1" x14ac:dyDescent="0.2">
      <c r="B130" s="49" t="s">
        <v>847</v>
      </c>
      <c r="C130" s="15"/>
      <c r="D130" s="1088">
        <f t="shared" ref="D130:I130" si="19">D131+D132</f>
        <v>0</v>
      </c>
      <c r="E130" s="1088">
        <f t="shared" si="19"/>
        <v>0</v>
      </c>
      <c r="F130" s="1088">
        <f t="shared" si="19"/>
        <v>0</v>
      </c>
      <c r="G130" s="1088">
        <f t="shared" si="19"/>
        <v>0</v>
      </c>
      <c r="H130" s="1088">
        <f t="shared" si="19"/>
        <v>0</v>
      </c>
      <c r="I130" s="1088">
        <f t="shared" si="19"/>
        <v>0</v>
      </c>
      <c r="J130" s="1369" t="s">
        <v>876</v>
      </c>
      <c r="K130" s="1384"/>
      <c r="L130" s="1384"/>
      <c r="M130" s="1384"/>
      <c r="N130" s="1384">
        <f>N131+N132</f>
        <v>0</v>
      </c>
      <c r="Z130" s="1354"/>
      <c r="AA130" s="1354"/>
      <c r="AB130" s="1354"/>
      <c r="AC130" s="1354"/>
      <c r="AD130" s="1354"/>
      <c r="AE130" s="1354"/>
      <c r="AF130" s="1354"/>
    </row>
    <row r="131" spans="1:32" ht="25" x14ac:dyDescent="0.15">
      <c r="A131" s="10" t="s">
        <v>278</v>
      </c>
      <c r="B131" s="17"/>
      <c r="C131" s="26" t="s">
        <v>563</v>
      </c>
      <c r="D131" s="1089"/>
      <c r="E131" s="1089">
        <v>0</v>
      </c>
      <c r="F131" s="1089">
        <v>0</v>
      </c>
      <c r="G131" s="1089">
        <v>0</v>
      </c>
      <c r="H131" s="1089"/>
      <c r="I131" s="1089">
        <f>+IF('Saisie TCR'!M20=0,'Saisie TCR'!N20,'Saisie TCR'!M20)</f>
        <v>0</v>
      </c>
      <c r="J131" s="1363" t="s">
        <v>878</v>
      </c>
      <c r="K131" s="1385"/>
      <c r="L131" s="1385"/>
      <c r="M131" s="1385"/>
      <c r="N131" s="1385">
        <f>+IF('Saisie TCR'!R20=0,'Saisie TCR'!S20,'Saisie TCR'!R20)</f>
        <v>0</v>
      </c>
      <c r="Z131" s="1354"/>
      <c r="AA131" s="1354"/>
      <c r="AB131" s="1354"/>
      <c r="AC131" s="1354"/>
      <c r="AD131" s="1354"/>
      <c r="AE131" s="1354"/>
      <c r="AF131" s="1354"/>
    </row>
    <row r="132" spans="1:32" ht="26" thickBot="1" x14ac:dyDescent="0.2">
      <c r="A132" s="10" t="s">
        <v>821</v>
      </c>
      <c r="B132" s="17"/>
      <c r="C132" s="26" t="s">
        <v>564</v>
      </c>
      <c r="D132" s="1093"/>
      <c r="E132" s="1093"/>
      <c r="F132" s="1093"/>
      <c r="G132" s="1093"/>
      <c r="H132" s="1093"/>
      <c r="I132" s="1093"/>
      <c r="J132" s="1363" t="s">
        <v>878</v>
      </c>
      <c r="K132" s="1385"/>
      <c r="L132" s="1385"/>
      <c r="M132" s="1385"/>
      <c r="N132" s="1385"/>
      <c r="Z132" s="1354"/>
      <c r="AA132" s="1354"/>
      <c r="AB132" s="1354"/>
      <c r="AC132" s="1354"/>
      <c r="AD132" s="1354"/>
      <c r="AE132" s="1354"/>
      <c r="AF132" s="1354"/>
    </row>
    <row r="133" spans="1:32" ht="13" customHeight="1" thickBot="1" x14ac:dyDescent="0.2">
      <c r="B133" s="48" t="s">
        <v>848</v>
      </c>
      <c r="C133" s="23"/>
      <c r="D133" s="1094">
        <f t="shared" ref="D133:I133" si="20">D125-D126+D130</f>
        <v>0</v>
      </c>
      <c r="E133" s="1094">
        <f t="shared" si="20"/>
        <v>50994.625999999989</v>
      </c>
      <c r="F133" s="1094">
        <f t="shared" si="20"/>
        <v>78615.446439999971</v>
      </c>
      <c r="G133" s="1094">
        <f t="shared" si="20"/>
        <v>161491.3820000001</v>
      </c>
      <c r="H133" s="1094">
        <f t="shared" si="20"/>
        <v>237966.49200000009</v>
      </c>
      <c r="I133" s="1094">
        <f t="shared" si="20"/>
        <v>69804.683000000019</v>
      </c>
      <c r="J133" s="1363"/>
      <c r="K133" s="1384"/>
      <c r="L133" s="1384"/>
      <c r="M133" s="1384"/>
      <c r="N133" s="1384">
        <f>N125-N126+N130</f>
        <v>0</v>
      </c>
      <c r="Z133" s="1354"/>
      <c r="AA133" s="1354"/>
      <c r="AB133" s="1354"/>
      <c r="AC133" s="1354"/>
      <c r="AD133" s="1354"/>
      <c r="AE133" s="1354"/>
      <c r="AF133" s="1354"/>
    </row>
    <row r="134" spans="1:32" ht="13" customHeight="1" thickBot="1" x14ac:dyDescent="0.2">
      <c r="B134" s="49" t="s">
        <v>849</v>
      </c>
      <c r="C134" s="15"/>
      <c r="D134" s="1069">
        <f t="shared" ref="D134:I134" si="21">D135+D136+D137+D138+D139</f>
        <v>0</v>
      </c>
      <c r="E134" s="1069">
        <f t="shared" si="21"/>
        <v>6520.2150000000001</v>
      </c>
      <c r="F134" s="1069">
        <f t="shared" si="21"/>
        <v>12668.579540000001</v>
      </c>
      <c r="G134" s="1069">
        <f t="shared" si="21"/>
        <v>32841.582000000002</v>
      </c>
      <c r="H134" s="1069">
        <f t="shared" si="21"/>
        <v>54011.955000000002</v>
      </c>
      <c r="I134" s="1069">
        <f t="shared" si="21"/>
        <v>21966.003000000001</v>
      </c>
      <c r="J134" s="1363"/>
      <c r="K134" s="1382"/>
      <c r="L134" s="1382"/>
      <c r="M134" s="1382"/>
      <c r="N134" s="1382">
        <f>N135+N136+N137+N138+N139</f>
        <v>0</v>
      </c>
      <c r="Z134" s="1354"/>
      <c r="AA134" s="1354"/>
      <c r="AB134" s="1354"/>
      <c r="AC134" s="1354"/>
      <c r="AD134" s="1354"/>
      <c r="AE134" s="1354"/>
      <c r="AF134" s="1354"/>
    </row>
    <row r="135" spans="1:32" ht="13" customHeight="1" x14ac:dyDescent="0.15">
      <c r="A135" s="10" t="s">
        <v>279</v>
      </c>
      <c r="B135" s="17"/>
      <c r="C135" s="17" t="s">
        <v>850</v>
      </c>
      <c r="D135" s="1073"/>
      <c r="E135" s="1073">
        <v>6520.2150000000001</v>
      </c>
      <c r="F135" s="1073">
        <v>12668.579540000001</v>
      </c>
      <c r="G135" s="1073">
        <v>32841.582000000002</v>
      </c>
      <c r="H135" s="1073">
        <v>54011.955000000002</v>
      </c>
      <c r="I135" s="1073">
        <f>+'Saisie TCR'!M36</f>
        <v>21966.003000000001</v>
      </c>
      <c r="J135" s="1363"/>
      <c r="K135" s="1381"/>
      <c r="L135" s="1381"/>
      <c r="M135" s="1381"/>
      <c r="N135" s="1381">
        <f>+'Saisie TCR'!R36</f>
        <v>0</v>
      </c>
      <c r="Z135" s="1354"/>
      <c r="AA135" s="1354"/>
      <c r="AB135" s="1354"/>
      <c r="AC135" s="1354"/>
      <c r="AD135" s="1354"/>
      <c r="AE135" s="1354"/>
      <c r="AF135" s="1354"/>
    </row>
    <row r="136" spans="1:32" ht="13" customHeight="1" x14ac:dyDescent="0.15">
      <c r="A136" s="10" t="s">
        <v>280</v>
      </c>
      <c r="B136" s="17"/>
      <c r="C136" s="17" t="s">
        <v>851</v>
      </c>
      <c r="D136" s="1070"/>
      <c r="E136" s="1071"/>
      <c r="F136" s="1071"/>
      <c r="G136" s="1071"/>
      <c r="H136" s="1071"/>
      <c r="I136" s="1071"/>
      <c r="J136" s="1363"/>
      <c r="K136" s="1381"/>
      <c r="L136" s="1381"/>
      <c r="M136" s="1381"/>
      <c r="N136" s="1381"/>
      <c r="Z136" s="1354"/>
      <c r="AA136" s="1354"/>
      <c r="AB136" s="1354"/>
      <c r="AC136" s="1354"/>
      <c r="AD136" s="1354"/>
      <c r="AE136" s="1354"/>
      <c r="AF136" s="1354"/>
    </row>
    <row r="137" spans="1:32" ht="13" customHeight="1" x14ac:dyDescent="0.15">
      <c r="A137" s="10" t="s">
        <v>281</v>
      </c>
      <c r="B137" s="17"/>
      <c r="C137" s="17" t="s">
        <v>852</v>
      </c>
      <c r="D137" s="1070"/>
      <c r="E137" s="1071"/>
      <c r="F137" s="1071"/>
      <c r="G137" s="1071"/>
      <c r="H137" s="1071"/>
      <c r="I137" s="1071"/>
      <c r="J137" s="1363" t="s">
        <v>877</v>
      </c>
      <c r="K137" s="1381"/>
      <c r="L137" s="1381"/>
      <c r="M137" s="1381"/>
      <c r="N137" s="1381"/>
      <c r="Z137" s="1354"/>
      <c r="AA137" s="1354"/>
      <c r="AB137" s="1354"/>
      <c r="AC137" s="1354"/>
      <c r="AD137" s="1354"/>
      <c r="AE137" s="1354"/>
      <c r="AF137" s="1354"/>
    </row>
    <row r="138" spans="1:32" ht="13" customHeight="1" x14ac:dyDescent="0.15">
      <c r="A138" s="10" t="s">
        <v>282</v>
      </c>
      <c r="B138" s="17"/>
      <c r="C138" s="17" t="s">
        <v>853</v>
      </c>
      <c r="D138" s="1074"/>
      <c r="E138" s="1075"/>
      <c r="F138" s="1075"/>
      <c r="G138" s="1075"/>
      <c r="H138" s="1075"/>
      <c r="I138" s="1075"/>
      <c r="J138" s="1363" t="s">
        <v>877</v>
      </c>
      <c r="K138" s="1381"/>
      <c r="L138" s="1381"/>
      <c r="M138" s="1381"/>
      <c r="N138" s="1381"/>
      <c r="Z138" s="1354"/>
      <c r="AA138" s="1354"/>
      <c r="AB138" s="1354"/>
      <c r="AC138" s="1354"/>
      <c r="AD138" s="1354"/>
      <c r="AE138" s="1354"/>
      <c r="AF138" s="1354"/>
    </row>
    <row r="139" spans="1:32" ht="13" customHeight="1" thickBot="1" x14ac:dyDescent="0.2">
      <c r="A139" s="10" t="s">
        <v>283</v>
      </c>
      <c r="B139" s="17"/>
      <c r="C139" s="17" t="s">
        <v>207</v>
      </c>
      <c r="D139" s="1070"/>
      <c r="E139" s="1071"/>
      <c r="F139" s="1071"/>
      <c r="G139" s="1071"/>
      <c r="H139" s="1071"/>
      <c r="I139" s="1071"/>
      <c r="J139" s="1363"/>
      <c r="K139" s="1381"/>
      <c r="L139" s="1381"/>
      <c r="M139" s="1381"/>
      <c r="N139" s="1381"/>
      <c r="Z139" s="1354"/>
      <c r="AA139" s="1354"/>
      <c r="AB139" s="1354"/>
      <c r="AC139" s="1354"/>
      <c r="AD139" s="1354"/>
      <c r="AE139" s="1354"/>
      <c r="AF139" s="1354"/>
    </row>
    <row r="140" spans="1:32" ht="13" customHeight="1" thickBot="1" x14ac:dyDescent="0.2">
      <c r="B140" s="49" t="s">
        <v>854</v>
      </c>
      <c r="C140" s="15"/>
      <c r="D140" s="1069">
        <f t="shared" ref="D140:I140" si="22">D141-D142-D143-D144-D145+D146+D147</f>
        <v>0</v>
      </c>
      <c r="E140" s="1069">
        <f t="shared" si="22"/>
        <v>14635.527</v>
      </c>
      <c r="F140" s="1069">
        <f t="shared" si="22"/>
        <v>20833.592250000002</v>
      </c>
      <c r="G140" s="1069">
        <f t="shared" si="22"/>
        <v>43265.055</v>
      </c>
      <c r="H140" s="1069">
        <f t="shared" si="22"/>
        <v>69910.584000000003</v>
      </c>
      <c r="I140" s="1069">
        <f t="shared" si="22"/>
        <v>22356.760999999999</v>
      </c>
      <c r="J140" s="1363"/>
      <c r="K140" s="1382"/>
      <c r="L140" s="1382"/>
      <c r="M140" s="1382"/>
      <c r="N140" s="1382">
        <f>N141-N142-N143-N144-N145+N146+N147</f>
        <v>0</v>
      </c>
      <c r="Z140" s="1354"/>
      <c r="AA140" s="1354"/>
      <c r="AB140" s="1354"/>
      <c r="AC140" s="1354"/>
      <c r="AD140" s="1354"/>
      <c r="AE140" s="1354"/>
      <c r="AF140" s="1354"/>
    </row>
    <row r="141" spans="1:32" ht="13" customHeight="1" x14ac:dyDescent="0.15">
      <c r="A141" s="10" t="s">
        <v>822</v>
      </c>
      <c r="B141" s="17"/>
      <c r="C141" s="17" t="s">
        <v>855</v>
      </c>
      <c r="D141" s="1077"/>
      <c r="E141" s="1077">
        <f>466.212+86.49+739.736+4505.583+719.775+219.39+1307.167+33</f>
        <v>8077.3529999999992</v>
      </c>
      <c r="F141" s="1073">
        <v>8693.8875599999992</v>
      </c>
      <c r="G141" s="1077">
        <f>5944.34+3201.983+77.536+3072.732+2350.384+1221.512+358.96+4952.346+29.65+10123.516</f>
        <v>31332.958999999999</v>
      </c>
      <c r="H141" s="1077">
        <v>43064.065999999999</v>
      </c>
      <c r="I141" s="1350">
        <f>+SUM('Saisie TCR'!M21:M33)</f>
        <v>17118.241000000002</v>
      </c>
      <c r="J141" s="1363"/>
      <c r="K141" s="1381"/>
      <c r="L141" s="1381"/>
      <c r="M141" s="1381"/>
      <c r="N141" s="1381">
        <f>+SUM('Saisie TCR'!R21:R33)</f>
        <v>0</v>
      </c>
      <c r="Z141" s="1354"/>
      <c r="AA141" s="1354"/>
      <c r="AB141" s="1354"/>
      <c r="AC141" s="1354"/>
      <c r="AD141" s="1354"/>
      <c r="AE141" s="1354"/>
      <c r="AF141" s="1354"/>
    </row>
    <row r="142" spans="1:32" ht="13" customHeight="1" x14ac:dyDescent="0.15">
      <c r="A142" s="10" t="s">
        <v>284</v>
      </c>
      <c r="B142" s="17"/>
      <c r="C142" s="17" t="s">
        <v>856</v>
      </c>
      <c r="D142" s="1101">
        <f>D129</f>
        <v>0</v>
      </c>
      <c r="E142" s="1101">
        <f>E129</f>
        <v>0</v>
      </c>
      <c r="F142" s="1101">
        <f>F129</f>
        <v>0</v>
      </c>
      <c r="G142" s="1101">
        <f>G129</f>
        <v>5944.34</v>
      </c>
      <c r="H142" s="1101"/>
      <c r="I142" s="1101">
        <f>I129</f>
        <v>3155.8789999999999</v>
      </c>
      <c r="J142" s="1363" t="s">
        <v>879</v>
      </c>
      <c r="K142" s="1381"/>
      <c r="L142" s="1381"/>
      <c r="M142" s="1381"/>
      <c r="N142" s="1381">
        <f>N129</f>
        <v>0</v>
      </c>
      <c r="Z142" s="1354"/>
      <c r="AA142" s="1354"/>
      <c r="AB142" s="1354"/>
      <c r="AC142" s="1354"/>
      <c r="AD142" s="1354"/>
      <c r="AE142" s="1354"/>
      <c r="AF142" s="1354"/>
    </row>
    <row r="143" spans="1:32" ht="13" customHeight="1" x14ac:dyDescent="0.15">
      <c r="A143" s="10" t="s">
        <v>285</v>
      </c>
      <c r="B143" s="17"/>
      <c r="C143" s="17" t="s">
        <v>857</v>
      </c>
      <c r="D143" s="1101">
        <f t="shared" ref="D143:F144" si="23">D137</f>
        <v>0</v>
      </c>
      <c r="E143" s="1101">
        <f t="shared" si="23"/>
        <v>0</v>
      </c>
      <c r="F143" s="1101">
        <f t="shared" si="23"/>
        <v>0</v>
      </c>
      <c r="G143" s="1101">
        <f>G137</f>
        <v>0</v>
      </c>
      <c r="H143" s="1101">
        <v>0</v>
      </c>
      <c r="I143" s="1101">
        <f>I137</f>
        <v>0</v>
      </c>
      <c r="J143" s="1363" t="s">
        <v>880</v>
      </c>
      <c r="K143" s="1381"/>
      <c r="L143" s="1381"/>
      <c r="M143" s="1381"/>
      <c r="N143" s="1381">
        <f>N137</f>
        <v>0</v>
      </c>
      <c r="Z143" s="1354"/>
      <c r="AA143" s="1354"/>
      <c r="AB143" s="1354"/>
      <c r="AC143" s="1354"/>
      <c r="AD143" s="1354"/>
      <c r="AE143" s="1354"/>
      <c r="AF143" s="1354"/>
    </row>
    <row r="144" spans="1:32" ht="13" customHeight="1" x14ac:dyDescent="0.15">
      <c r="A144" s="10" t="s">
        <v>286</v>
      </c>
      <c r="B144" s="17"/>
      <c r="C144" s="17" t="s">
        <v>858</v>
      </c>
      <c r="D144" s="1101">
        <f t="shared" si="23"/>
        <v>0</v>
      </c>
      <c r="E144" s="1101">
        <f t="shared" si="23"/>
        <v>0</v>
      </c>
      <c r="F144" s="1101">
        <f t="shared" si="23"/>
        <v>0</v>
      </c>
      <c r="G144" s="1101">
        <f>G138</f>
        <v>0</v>
      </c>
      <c r="H144" s="1101">
        <v>0</v>
      </c>
      <c r="I144" s="1101">
        <f>I138</f>
        <v>0</v>
      </c>
      <c r="J144" s="1363" t="s">
        <v>881</v>
      </c>
      <c r="K144" s="1381"/>
      <c r="L144" s="1381"/>
      <c r="M144" s="1381"/>
      <c r="N144" s="1381">
        <f>N138</f>
        <v>0</v>
      </c>
      <c r="Z144" s="1354"/>
      <c r="AA144" s="1354"/>
      <c r="AB144" s="1354"/>
      <c r="AC144" s="1354"/>
      <c r="AD144" s="1354"/>
      <c r="AE144" s="1354"/>
      <c r="AF144" s="1354"/>
    </row>
    <row r="145" spans="1:32" ht="13" customHeight="1" x14ac:dyDescent="0.15">
      <c r="A145" s="10" t="s">
        <v>561</v>
      </c>
      <c r="B145" s="17"/>
      <c r="C145" s="17" t="s">
        <v>859</v>
      </c>
      <c r="D145" s="1101">
        <f>D158</f>
        <v>0</v>
      </c>
      <c r="E145" s="1101">
        <f>E158</f>
        <v>0</v>
      </c>
      <c r="F145" s="1101">
        <f>F158</f>
        <v>0</v>
      </c>
      <c r="G145" s="1101">
        <f>G159</f>
        <v>2220.1570000000002</v>
      </c>
      <c r="H145" s="1101">
        <v>0</v>
      </c>
      <c r="I145" s="1101">
        <f>I158</f>
        <v>0</v>
      </c>
      <c r="J145" s="1363" t="s">
        <v>882</v>
      </c>
      <c r="K145" s="1381"/>
      <c r="L145" s="1381"/>
      <c r="M145" s="1381"/>
      <c r="N145" s="1381">
        <f>N158</f>
        <v>0</v>
      </c>
      <c r="Z145" s="1354"/>
      <c r="AA145" s="1354"/>
      <c r="AB145" s="1354"/>
      <c r="AC145" s="1354"/>
      <c r="AD145" s="1354"/>
      <c r="AE145" s="1354"/>
      <c r="AF145" s="1354"/>
    </row>
    <row r="146" spans="1:32" ht="13" customHeight="1" x14ac:dyDescent="0.15">
      <c r="A146" s="10" t="s">
        <v>287</v>
      </c>
      <c r="B146" s="17"/>
      <c r="C146" s="17" t="s">
        <v>860</v>
      </c>
      <c r="D146" s="1073"/>
      <c r="E146" s="1073">
        <v>723.07399999999996</v>
      </c>
      <c r="F146" s="1073">
        <v>1763.1189400000001</v>
      </c>
      <c r="G146" s="1073">
        <v>4849.8760000000002</v>
      </c>
      <c r="H146" s="1073">
        <v>896.75</v>
      </c>
      <c r="I146" s="1073">
        <f>+'Saisie TCR'!M40</f>
        <v>3875.82</v>
      </c>
      <c r="J146" s="1363"/>
      <c r="K146" s="1381"/>
      <c r="L146" s="1381"/>
      <c r="M146" s="1381"/>
      <c r="N146" s="1381">
        <f>+'Saisie TCR'!R40</f>
        <v>0</v>
      </c>
      <c r="Z146" s="1354"/>
      <c r="AA146" s="1354"/>
      <c r="AB146" s="1354"/>
      <c r="AC146" s="1354"/>
      <c r="AD146" s="1354"/>
      <c r="AE146" s="1354"/>
      <c r="AF146" s="1354"/>
    </row>
    <row r="147" spans="1:32" ht="13" customHeight="1" thickBot="1" x14ac:dyDescent="0.2">
      <c r="A147" s="10" t="s">
        <v>288</v>
      </c>
      <c r="B147" s="17"/>
      <c r="C147" s="17" t="s">
        <v>861</v>
      </c>
      <c r="D147" s="1075"/>
      <c r="E147" s="1075">
        <f>5827.176+7.924</f>
        <v>5835.1</v>
      </c>
      <c r="F147" s="1075">
        <v>10376.58575</v>
      </c>
      <c r="G147" s="1075">
        <f>12806.378+2440.339</f>
        <v>15246.717000000001</v>
      </c>
      <c r="H147" s="1075">
        <v>25949.768</v>
      </c>
      <c r="I147" s="1075">
        <f>+'Saisie TCR'!M37</f>
        <v>4518.5789999999997</v>
      </c>
      <c r="J147" s="1363"/>
      <c r="K147" s="1381"/>
      <c r="L147" s="1381"/>
      <c r="M147" s="1381"/>
      <c r="N147" s="1381">
        <f>+'Saisie TCR'!R37</f>
        <v>0</v>
      </c>
      <c r="Z147" s="1354"/>
      <c r="AA147" s="1354"/>
      <c r="AB147" s="1354"/>
      <c r="AC147" s="1354"/>
      <c r="AD147" s="1354"/>
      <c r="AE147" s="1354"/>
      <c r="AF147" s="1354"/>
    </row>
    <row r="148" spans="1:32" ht="13" customHeight="1" thickBot="1" x14ac:dyDescent="0.2">
      <c r="B148" s="48" t="s">
        <v>0</v>
      </c>
      <c r="C148" s="23"/>
      <c r="D148" s="1094">
        <f t="shared" ref="D148:I148" si="24">D133-D134-D140</f>
        <v>0</v>
      </c>
      <c r="E148" s="1094">
        <f t="shared" si="24"/>
        <v>29838.883999999991</v>
      </c>
      <c r="F148" s="1094">
        <f t="shared" si="24"/>
        <v>45113.274649999963</v>
      </c>
      <c r="G148" s="1094">
        <f t="shared" si="24"/>
        <v>85384.745000000112</v>
      </c>
      <c r="H148" s="1094">
        <f t="shared" si="24"/>
        <v>114043.95300000007</v>
      </c>
      <c r="I148" s="1094">
        <f t="shared" si="24"/>
        <v>25481.919000000024</v>
      </c>
      <c r="J148" s="1363"/>
      <c r="K148" s="1384"/>
      <c r="L148" s="1384"/>
      <c r="M148" s="1384"/>
      <c r="N148" s="1384">
        <f>N133-N134-N140</f>
        <v>0</v>
      </c>
      <c r="Z148" s="1354"/>
      <c r="AA148" s="1354"/>
      <c r="AB148" s="1354"/>
      <c r="AC148" s="1354"/>
      <c r="AD148" s="1354"/>
      <c r="AE148" s="1354"/>
      <c r="AF148" s="1354"/>
    </row>
    <row r="149" spans="1:32" ht="13" customHeight="1" thickBot="1" x14ac:dyDescent="0.2">
      <c r="B149" s="48" t="s">
        <v>1</v>
      </c>
      <c r="C149" s="23"/>
      <c r="D149" s="1094">
        <f t="shared" ref="D149:I149" si="25">+D150</f>
        <v>0</v>
      </c>
      <c r="E149" s="1094">
        <f t="shared" si="25"/>
        <v>11388.356</v>
      </c>
      <c r="F149" s="1094">
        <f t="shared" si="25"/>
        <v>19363.477999999999</v>
      </c>
      <c r="G149" s="1094">
        <f t="shared" si="25"/>
        <v>20879.096000000001</v>
      </c>
      <c r="H149" s="1094">
        <f t="shared" si="25"/>
        <v>28354.569</v>
      </c>
      <c r="I149" s="1094">
        <f t="shared" si="25"/>
        <v>6668.2629999999999</v>
      </c>
      <c r="J149" s="1363"/>
      <c r="K149" s="1384"/>
      <c r="L149" s="1384"/>
      <c r="M149" s="1384"/>
      <c r="N149" s="1384">
        <f>+N150</f>
        <v>0</v>
      </c>
      <c r="Z149" s="1354"/>
      <c r="AA149" s="1354"/>
      <c r="AB149" s="1354"/>
      <c r="AC149" s="1354"/>
      <c r="AD149" s="1354"/>
      <c r="AE149" s="1354"/>
      <c r="AF149" s="1354"/>
    </row>
    <row r="150" spans="1:32" ht="24" customHeight="1" thickBot="1" x14ac:dyDescent="0.2">
      <c r="A150" s="10" t="s">
        <v>72</v>
      </c>
      <c r="B150" s="17"/>
      <c r="C150" s="26" t="s">
        <v>2</v>
      </c>
      <c r="D150" s="1089"/>
      <c r="E150" s="1089">
        <v>11388.356</v>
      </c>
      <c r="F150" s="1089">
        <v>19363.477999999999</v>
      </c>
      <c r="G150" s="1089">
        <v>20879.096000000001</v>
      </c>
      <c r="H150" s="1089">
        <v>28354.569</v>
      </c>
      <c r="I150" s="1089">
        <f>+'Saisie TCR'!M41</f>
        <v>6668.2629999999999</v>
      </c>
      <c r="J150" s="1363"/>
      <c r="K150" s="1385"/>
      <c r="L150" s="1385"/>
      <c r="M150" s="1385"/>
      <c r="N150" s="1385">
        <f>+'Saisie TCR'!R41</f>
        <v>0</v>
      </c>
      <c r="Z150" s="1354"/>
      <c r="AA150" s="1354"/>
      <c r="AB150" s="1354"/>
      <c r="AC150" s="1354"/>
      <c r="AD150" s="1354"/>
      <c r="AE150" s="1354"/>
      <c r="AF150" s="1354"/>
    </row>
    <row r="151" spans="1:32" ht="13" customHeight="1" thickBot="1" x14ac:dyDescent="0.2">
      <c r="B151" s="49" t="s">
        <v>3</v>
      </c>
      <c r="C151" s="15"/>
      <c r="D151" s="1088">
        <f t="shared" ref="D151:I151" si="26">-D152+D153+D154</f>
        <v>0</v>
      </c>
      <c r="E151" s="1088">
        <f t="shared" si="26"/>
        <v>0</v>
      </c>
      <c r="F151" s="1088">
        <f t="shared" si="26"/>
        <v>0</v>
      </c>
      <c r="G151" s="1088">
        <f t="shared" si="26"/>
        <v>0</v>
      </c>
      <c r="H151" s="1088">
        <f t="shared" si="26"/>
        <v>-2199.181</v>
      </c>
      <c r="I151" s="1088">
        <f t="shared" si="26"/>
        <v>0</v>
      </c>
      <c r="J151" s="1363"/>
      <c r="K151" s="1384"/>
      <c r="L151" s="1384"/>
      <c r="M151" s="1384"/>
      <c r="N151" s="1384">
        <f>-N152+N153+N154</f>
        <v>0</v>
      </c>
      <c r="Z151" s="1354"/>
      <c r="AA151" s="1354"/>
      <c r="AB151" s="1354"/>
      <c r="AC151" s="1354"/>
      <c r="AD151" s="1354"/>
      <c r="AE151" s="1354"/>
      <c r="AF151" s="1354"/>
    </row>
    <row r="152" spans="1:32" ht="44.25" customHeight="1" x14ac:dyDescent="0.15">
      <c r="A152" s="1186" t="s">
        <v>75</v>
      </c>
      <c r="B152" s="52"/>
      <c r="C152" s="26" t="s">
        <v>556</v>
      </c>
      <c r="D152" s="1072"/>
      <c r="E152" s="1073"/>
      <c r="F152" s="1073"/>
      <c r="G152" s="1073"/>
      <c r="H152" s="1073">
        <v>2199.181</v>
      </c>
      <c r="I152" s="1073">
        <f>+'Saisie TCR'!N44</f>
        <v>0</v>
      </c>
      <c r="J152" s="1363"/>
      <c r="K152" s="1381"/>
      <c r="L152" s="1381"/>
      <c r="M152" s="1381"/>
      <c r="N152" s="1381">
        <f>+'Saisie TCR'!S44</f>
        <v>0</v>
      </c>
      <c r="Z152" s="1354"/>
      <c r="AA152" s="1354"/>
      <c r="AB152" s="1354"/>
      <c r="AC152" s="1354"/>
      <c r="AD152" s="1354"/>
      <c r="AE152" s="1354"/>
      <c r="AF152" s="1354"/>
    </row>
    <row r="153" spans="1:32" ht="24" customHeight="1" x14ac:dyDescent="0.15">
      <c r="A153" s="10" t="s">
        <v>73</v>
      </c>
      <c r="B153" s="52"/>
      <c r="C153" s="26" t="s">
        <v>557</v>
      </c>
      <c r="D153" s="1082"/>
      <c r="E153" s="1071"/>
      <c r="F153" s="1071"/>
      <c r="G153" s="1071"/>
      <c r="H153" s="1071"/>
      <c r="I153" s="1071">
        <f>+SUM('Saisie TCR'!M42:M43)</f>
        <v>0</v>
      </c>
      <c r="J153" s="1363"/>
      <c r="K153" s="1381"/>
      <c r="L153" s="1381"/>
      <c r="M153" s="1381"/>
      <c r="N153" s="1381">
        <f>+SUM('Saisie TCR'!R42:R43)</f>
        <v>0</v>
      </c>
      <c r="Z153" s="1354"/>
      <c r="AA153" s="1354"/>
      <c r="AB153" s="1354"/>
      <c r="AC153" s="1354"/>
      <c r="AD153" s="1354"/>
      <c r="AE153" s="1354"/>
      <c r="AF153" s="1354"/>
    </row>
    <row r="154" spans="1:32" ht="24" customHeight="1" thickBot="1" x14ac:dyDescent="0.2">
      <c r="A154" s="10" t="s">
        <v>74</v>
      </c>
      <c r="B154" s="52"/>
      <c r="C154" s="26" t="s">
        <v>558</v>
      </c>
      <c r="D154" s="1082"/>
      <c r="E154" s="1071">
        <v>0</v>
      </c>
      <c r="F154" s="1071">
        <v>0</v>
      </c>
      <c r="G154" s="1071">
        <v>0</v>
      </c>
      <c r="H154" s="1071"/>
      <c r="I154" s="1071"/>
      <c r="J154" s="1363"/>
      <c r="K154" s="1381"/>
      <c r="L154" s="1381"/>
      <c r="M154" s="1381"/>
      <c r="N154" s="1381"/>
      <c r="Z154" s="1354"/>
      <c r="AA154" s="1361"/>
      <c r="AB154" s="1361"/>
      <c r="AC154" s="1361"/>
      <c r="AD154" s="1361"/>
      <c r="AE154" s="1361"/>
      <c r="AF154" s="1361"/>
    </row>
    <row r="155" spans="1:32" ht="13" customHeight="1" thickBot="1" x14ac:dyDescent="0.2">
      <c r="B155" s="48" t="s">
        <v>4</v>
      </c>
      <c r="C155" s="23"/>
      <c r="D155" s="1094">
        <f t="shared" ref="D155:I155" si="27">D148-D149-D151</f>
        <v>0</v>
      </c>
      <c r="E155" s="1094">
        <f t="shared" si="27"/>
        <v>18450.527999999991</v>
      </c>
      <c r="F155" s="1094">
        <f t="shared" si="27"/>
        <v>25749.796649999964</v>
      </c>
      <c r="G155" s="1094">
        <f t="shared" si="27"/>
        <v>64505.649000000107</v>
      </c>
      <c r="H155" s="1094">
        <f t="shared" si="27"/>
        <v>87888.565000000061</v>
      </c>
      <c r="I155" s="1094">
        <f t="shared" si="27"/>
        <v>18813.656000000025</v>
      </c>
      <c r="J155" s="1363"/>
      <c r="K155" s="1384"/>
      <c r="L155" s="1384"/>
      <c r="M155" s="1384"/>
      <c r="N155" s="1384">
        <f>N148-N149-N151</f>
        <v>0</v>
      </c>
      <c r="Z155" s="1354"/>
      <c r="AA155" s="1354"/>
      <c r="AB155" s="1354"/>
      <c r="AC155" s="1354"/>
      <c r="AD155" s="1354"/>
      <c r="AE155" s="1354"/>
      <c r="AF155" s="1354"/>
    </row>
    <row r="156" spans="1:32" ht="13" customHeight="1" thickBot="1" x14ac:dyDescent="0.2">
      <c r="B156" s="49" t="s">
        <v>5</v>
      </c>
      <c r="C156" s="15"/>
      <c r="D156" s="1069">
        <f t="shared" ref="D156:I156" si="28">D157</f>
        <v>0</v>
      </c>
      <c r="E156" s="1069">
        <f t="shared" si="28"/>
        <v>5350.7579999999998</v>
      </c>
      <c r="F156" s="1069">
        <f t="shared" si="28"/>
        <v>7135.5244300000004</v>
      </c>
      <c r="G156" s="1069">
        <f t="shared" si="28"/>
        <v>22582.892</v>
      </c>
      <c r="H156" s="1069">
        <f t="shared" si="28"/>
        <v>57969.357000000004</v>
      </c>
      <c r="I156" s="1069">
        <f t="shared" si="28"/>
        <v>930.33799999999997</v>
      </c>
      <c r="J156" s="1363"/>
      <c r="K156" s="1382"/>
      <c r="L156" s="1382"/>
      <c r="M156" s="1382"/>
      <c r="N156" s="1382">
        <f>N157</f>
        <v>0</v>
      </c>
      <c r="Z156" s="1354"/>
      <c r="AA156" s="1354"/>
      <c r="AB156" s="1354"/>
      <c r="AC156" s="1354"/>
      <c r="AD156" s="1354"/>
      <c r="AE156" s="1354"/>
      <c r="AF156" s="1354"/>
    </row>
    <row r="157" spans="1:32" ht="13" customHeight="1" thickBot="1" x14ac:dyDescent="0.2">
      <c r="A157" s="10" t="s">
        <v>289</v>
      </c>
      <c r="B157" s="17"/>
      <c r="C157" s="50" t="s">
        <v>6</v>
      </c>
      <c r="D157" s="1077"/>
      <c r="E157" s="1077">
        <v>5350.7579999999998</v>
      </c>
      <c r="F157" s="1077">
        <v>7135.5244300000004</v>
      </c>
      <c r="G157" s="1077">
        <v>22582.892</v>
      </c>
      <c r="H157" s="1077">
        <v>57969.357000000004</v>
      </c>
      <c r="I157" s="1350">
        <f>+'Saisie TCR'!M47</f>
        <v>930.33799999999997</v>
      </c>
      <c r="J157" s="1363"/>
      <c r="K157" s="1381"/>
      <c r="L157" s="1381"/>
      <c r="M157" s="1381"/>
      <c r="N157" s="1381">
        <f>+'Saisie TCR'!R47</f>
        <v>0</v>
      </c>
      <c r="Z157" s="1354"/>
      <c r="AA157" s="1354"/>
      <c r="AB157" s="1354"/>
      <c r="AC157" s="1354"/>
      <c r="AD157" s="1354"/>
      <c r="AE157" s="1354"/>
      <c r="AF157" s="1354"/>
    </row>
    <row r="158" spans="1:32" ht="13" customHeight="1" thickBot="1" x14ac:dyDescent="0.2">
      <c r="B158" s="49" t="s">
        <v>7</v>
      </c>
      <c r="C158" s="15"/>
      <c r="D158" s="1069">
        <f t="shared" ref="D158:I158" si="29">D159+D160</f>
        <v>0</v>
      </c>
      <c r="E158" s="1069">
        <f t="shared" si="29"/>
        <v>0</v>
      </c>
      <c r="F158" s="1069">
        <f t="shared" si="29"/>
        <v>0</v>
      </c>
      <c r="G158" s="1069">
        <f t="shared" si="29"/>
        <v>2220.1570000000002</v>
      </c>
      <c r="H158" s="1069">
        <f t="shared" si="29"/>
        <v>0</v>
      </c>
      <c r="I158" s="1069">
        <f t="shared" si="29"/>
        <v>0</v>
      </c>
      <c r="J158" s="1363"/>
      <c r="K158" s="1382"/>
      <c r="L158" s="1382"/>
      <c r="M158" s="1382"/>
      <c r="N158" s="1382">
        <f>N159+N160</f>
        <v>0</v>
      </c>
      <c r="Z158" s="1354"/>
      <c r="AA158" s="1354"/>
      <c r="AB158" s="1354"/>
      <c r="AC158" s="1354"/>
      <c r="AD158" s="1354"/>
      <c r="AE158" s="1354"/>
      <c r="AF158" s="1354"/>
    </row>
    <row r="159" spans="1:32" ht="13" customHeight="1" x14ac:dyDescent="0.15">
      <c r="A159" s="10" t="s">
        <v>823</v>
      </c>
      <c r="B159" s="17"/>
      <c r="C159" s="17" t="s">
        <v>8</v>
      </c>
      <c r="D159" s="1080"/>
      <c r="E159" s="1073"/>
      <c r="F159" s="1073"/>
      <c r="G159" s="1073">
        <f>1006.789+1213.368</f>
        <v>2220.1570000000002</v>
      </c>
      <c r="H159" s="1073"/>
      <c r="I159" s="1073"/>
      <c r="J159" s="1363" t="s">
        <v>877</v>
      </c>
      <c r="K159" s="1381"/>
      <c r="L159" s="1381"/>
      <c r="M159" s="1381"/>
      <c r="N159" s="1381"/>
      <c r="Z159" s="1354"/>
      <c r="AA159" s="1354"/>
      <c r="AB159" s="1354"/>
      <c r="AC159" s="1354"/>
      <c r="AD159" s="1354"/>
      <c r="AE159" s="1354"/>
      <c r="AF159" s="1354"/>
    </row>
    <row r="160" spans="1:32" ht="13" customHeight="1" thickBot="1" x14ac:dyDescent="0.2">
      <c r="A160" s="10" t="s">
        <v>290</v>
      </c>
      <c r="B160" s="17"/>
      <c r="C160" s="17" t="s">
        <v>9</v>
      </c>
      <c r="D160" s="1074"/>
      <c r="E160" s="1075"/>
      <c r="F160" s="1075"/>
      <c r="G160" s="1075"/>
      <c r="H160" s="1075"/>
      <c r="I160" s="1075"/>
      <c r="J160" s="1363" t="s">
        <v>877</v>
      </c>
      <c r="K160" s="1381"/>
      <c r="L160" s="1381"/>
      <c r="M160" s="1381"/>
      <c r="N160" s="1381"/>
      <c r="Z160" s="1354"/>
      <c r="AA160" s="1354"/>
      <c r="AB160" s="1354"/>
      <c r="AC160" s="1354"/>
      <c r="AD160" s="1354"/>
      <c r="AE160" s="1354"/>
      <c r="AF160" s="1354"/>
    </row>
    <row r="161" spans="1:58" ht="13" customHeight="1" thickBot="1" x14ac:dyDescent="0.2">
      <c r="B161" s="49" t="s">
        <v>10</v>
      </c>
      <c r="C161" s="15"/>
      <c r="D161" s="1069">
        <f t="shared" ref="D161:I161" si="30">D162+D163+D164</f>
        <v>0</v>
      </c>
      <c r="E161" s="1069">
        <f t="shared" si="30"/>
        <v>0</v>
      </c>
      <c r="F161" s="1069">
        <f t="shared" si="30"/>
        <v>0</v>
      </c>
      <c r="G161" s="1069">
        <f t="shared" si="30"/>
        <v>0</v>
      </c>
      <c r="H161" s="1069">
        <f t="shared" si="30"/>
        <v>4837.8220000000001</v>
      </c>
      <c r="I161" s="1069">
        <f t="shared" si="30"/>
        <v>2756.578</v>
      </c>
      <c r="J161" s="1363"/>
      <c r="K161" s="1382"/>
      <c r="L161" s="1382"/>
      <c r="M161" s="1382"/>
      <c r="N161" s="1382">
        <f>N162+N163+N164</f>
        <v>0</v>
      </c>
      <c r="Z161" s="1354"/>
      <c r="AA161" s="1354"/>
      <c r="AB161" s="1354"/>
      <c r="AC161" s="1354"/>
      <c r="AD161" s="1354"/>
      <c r="AE161" s="1354"/>
      <c r="AF161" s="1354"/>
    </row>
    <row r="162" spans="1:58" ht="13" customHeight="1" x14ac:dyDescent="0.15">
      <c r="A162" s="10" t="s">
        <v>291</v>
      </c>
      <c r="B162" s="17"/>
      <c r="C162" s="17" t="s">
        <v>11</v>
      </c>
      <c r="D162" s="1080"/>
      <c r="E162" s="1073"/>
      <c r="F162" s="1073"/>
      <c r="G162" s="1073"/>
      <c r="H162" s="1073"/>
      <c r="I162" s="1073">
        <f>+'Saisie TCR'!N46</f>
        <v>0</v>
      </c>
      <c r="J162" s="1363"/>
      <c r="K162" s="1381"/>
      <c r="L162" s="1381"/>
      <c r="M162" s="1381"/>
      <c r="N162" s="1381">
        <f>+'Saisie TCR'!S46</f>
        <v>0</v>
      </c>
      <c r="Z162" s="1354"/>
      <c r="AA162" s="1354"/>
      <c r="AB162" s="1354"/>
      <c r="AC162" s="1354"/>
      <c r="AD162" s="1354"/>
      <c r="AE162" s="1354"/>
      <c r="AF162" s="1354"/>
    </row>
    <row r="163" spans="1:58" ht="24" customHeight="1" x14ac:dyDescent="0.15">
      <c r="A163" s="10" t="s">
        <v>292</v>
      </c>
      <c r="B163" s="17"/>
      <c r="C163" s="26" t="s">
        <v>12</v>
      </c>
      <c r="D163" s="1082"/>
      <c r="E163" s="1071"/>
      <c r="F163" s="1071"/>
      <c r="G163" s="1071"/>
      <c r="H163" s="1071"/>
      <c r="I163" s="1071"/>
      <c r="J163" s="1363"/>
      <c r="K163" s="1381"/>
      <c r="L163" s="1381"/>
      <c r="M163" s="1381"/>
      <c r="N163" s="1381"/>
      <c r="Z163" s="1354"/>
      <c r="AA163" s="1354"/>
      <c r="AB163" s="1354"/>
      <c r="AC163" s="1354"/>
      <c r="AD163" s="1354"/>
      <c r="AE163" s="1354"/>
      <c r="AF163" s="1354"/>
    </row>
    <row r="164" spans="1:58" ht="13" customHeight="1" thickBot="1" x14ac:dyDescent="0.2">
      <c r="A164" s="10" t="s">
        <v>293</v>
      </c>
      <c r="B164" s="17"/>
      <c r="C164" s="17" t="s">
        <v>13</v>
      </c>
      <c r="D164" s="1075"/>
      <c r="E164" s="1075"/>
      <c r="F164" s="1075"/>
      <c r="G164" s="1075"/>
      <c r="H164" s="1432">
        <v>4837.8220000000001</v>
      </c>
      <c r="I164" s="1434">
        <v>2756.578</v>
      </c>
      <c r="J164" s="1363"/>
      <c r="K164" s="1381"/>
      <c r="L164" s="1381"/>
      <c r="M164" s="1381"/>
      <c r="N164" s="1381"/>
      <c r="Z164" s="1354"/>
      <c r="AA164" s="1361"/>
      <c r="AB164" s="1361"/>
      <c r="AC164" s="1361"/>
      <c r="AD164" s="1361"/>
      <c r="AE164" s="1361"/>
      <c r="AF164" s="1361"/>
    </row>
    <row r="165" spans="1:58" ht="13" customHeight="1" thickBot="1" x14ac:dyDescent="0.2">
      <c r="B165" s="48" t="s">
        <v>14</v>
      </c>
      <c r="C165" s="23"/>
      <c r="D165" s="1094">
        <f t="shared" ref="D165:I165" si="31">D155-D156-D158+D161</f>
        <v>0</v>
      </c>
      <c r="E165" s="1094">
        <f t="shared" si="31"/>
        <v>13099.769999999991</v>
      </c>
      <c r="F165" s="1094">
        <f t="shared" si="31"/>
        <v>18614.272219999963</v>
      </c>
      <c r="G165" s="1094">
        <f t="shared" si="31"/>
        <v>39702.600000000108</v>
      </c>
      <c r="H165" s="1094">
        <f t="shared" si="31"/>
        <v>34757.030000000057</v>
      </c>
      <c r="I165" s="1433">
        <f t="shared" si="31"/>
        <v>20639.896000000026</v>
      </c>
      <c r="J165" s="1363"/>
      <c r="K165" s="1384"/>
      <c r="L165" s="1384"/>
      <c r="M165" s="1384"/>
      <c r="N165" s="1384">
        <f>N155-N156-N158+N161</f>
        <v>0</v>
      </c>
      <c r="Z165" s="1354"/>
      <c r="AA165" s="1354"/>
      <c r="AB165" s="1354"/>
      <c r="AC165" s="1354"/>
      <c r="AD165" s="1354"/>
      <c r="AE165" s="1354"/>
      <c r="AF165" s="1354"/>
    </row>
    <row r="166" spans="1:58" ht="13" customHeight="1" thickBot="1" x14ac:dyDescent="0.2">
      <c r="B166" s="49" t="s">
        <v>15</v>
      </c>
      <c r="C166" s="1217"/>
      <c r="D166" s="1218">
        <f t="shared" ref="D166:I166" si="32">D167+D168-D169+D170-D171+D172-D173+D174+D175+D178+D179-D180-D176</f>
        <v>0</v>
      </c>
      <c r="E166" s="1218">
        <f t="shared" si="32"/>
        <v>-1099.1599999999999</v>
      </c>
      <c r="F166" s="1218">
        <f t="shared" si="32"/>
        <v>5896.4239799999996</v>
      </c>
      <c r="G166" s="1218">
        <f t="shared" si="32"/>
        <v>-11395.677999999998</v>
      </c>
      <c r="H166" s="1218">
        <f t="shared" si="32"/>
        <v>0</v>
      </c>
      <c r="I166" s="1218">
        <f t="shared" si="32"/>
        <v>0</v>
      </c>
      <c r="J166" s="1363"/>
      <c r="K166" s="1394"/>
      <c r="L166" s="1394"/>
      <c r="M166" s="1394"/>
      <c r="N166" s="1394">
        <f>N167+N168-N169+N170-N171+N172-N173+N174+N175+N178+N179-N180-N176</f>
        <v>0</v>
      </c>
      <c r="Z166" s="1354"/>
      <c r="AA166" s="1354"/>
      <c r="AB166" s="1354"/>
      <c r="AC166" s="1354"/>
      <c r="AD166" s="1354"/>
      <c r="AE166" s="1354"/>
      <c r="AF166" s="1354"/>
    </row>
    <row r="167" spans="1:58" s="9" customFormat="1" ht="13" customHeight="1" x14ac:dyDescent="0.15">
      <c r="A167" s="9" t="s">
        <v>294</v>
      </c>
      <c r="B167" s="51"/>
      <c r="C167" s="24" t="s">
        <v>16</v>
      </c>
      <c r="D167" s="1103"/>
      <c r="E167" s="1103">
        <v>-2919.373</v>
      </c>
      <c r="F167" s="1103">
        <v>5749.0503799999997</v>
      </c>
      <c r="G167" s="1103">
        <v>-25727.312999999998</v>
      </c>
      <c r="H167" s="1103"/>
      <c r="I167" s="1103">
        <f>+'Saisie TCR'!N50-'Saisie TCR'!M51</f>
        <v>0</v>
      </c>
      <c r="J167" s="1363"/>
      <c r="K167" s="1385"/>
      <c r="L167" s="1385"/>
      <c r="M167" s="1385"/>
      <c r="N167" s="1385">
        <f>+'Saisie TCR'!S50-'Saisie TCR'!R51</f>
        <v>0</v>
      </c>
      <c r="O167" s="1353"/>
      <c r="P167" s="1353"/>
      <c r="Q167" s="1353"/>
      <c r="R167" s="1353"/>
      <c r="S167" s="1353"/>
      <c r="T167" s="1353"/>
      <c r="U167" s="1353"/>
      <c r="V167" s="1353"/>
      <c r="W167" s="1353"/>
      <c r="X167" s="1353"/>
      <c r="Y167" s="1353"/>
      <c r="Z167" s="1354"/>
      <c r="AA167" s="1354"/>
      <c r="AB167" s="1354"/>
      <c r="AC167" s="1354"/>
      <c r="AD167" s="1354"/>
      <c r="AE167" s="1354"/>
      <c r="AF167" s="1354"/>
      <c r="AG167" s="1353"/>
      <c r="AH167" s="1353"/>
      <c r="AI167" s="1353"/>
      <c r="AJ167" s="1353"/>
      <c r="AK167" s="1353"/>
      <c r="AL167" s="1353"/>
      <c r="AM167" s="1353"/>
      <c r="AN167" s="1353"/>
      <c r="AO167" s="1353"/>
      <c r="AP167" s="1353"/>
      <c r="AQ167" s="1353"/>
      <c r="AR167" s="1353"/>
      <c r="AS167" s="1353"/>
      <c r="AT167" s="1353"/>
      <c r="AU167" s="1353"/>
      <c r="AV167" s="1353"/>
      <c r="AW167" s="1353"/>
      <c r="AX167" s="1353"/>
      <c r="AY167" s="1353"/>
      <c r="AZ167" s="1353"/>
      <c r="BA167" s="1353"/>
      <c r="BB167" s="1353"/>
      <c r="BC167" s="1353"/>
      <c r="BD167" s="1353"/>
      <c r="BE167" s="1353"/>
      <c r="BF167" s="1353"/>
    </row>
    <row r="168" spans="1:58" ht="24" customHeight="1" x14ac:dyDescent="0.15">
      <c r="A168" s="10" t="s">
        <v>295</v>
      </c>
      <c r="B168" s="52"/>
      <c r="C168" s="26" t="s">
        <v>17</v>
      </c>
      <c r="D168" s="1082"/>
      <c r="E168" s="1071">
        <f>903.393+916.82</f>
        <v>1820.2130000000002</v>
      </c>
      <c r="F168" s="1071">
        <v>147.37360000000001</v>
      </c>
      <c r="G168" s="1071">
        <f>10861.028+1910.235</f>
        <v>12771.263000000001</v>
      </c>
      <c r="H168" s="1071"/>
      <c r="I168" s="1071"/>
      <c r="J168" s="1363"/>
      <c r="K168" s="1381"/>
      <c r="L168" s="1381"/>
      <c r="M168" s="1381"/>
      <c r="N168" s="1381"/>
      <c r="Z168" s="1354"/>
      <c r="AA168" s="1354"/>
      <c r="AB168" s="1354"/>
      <c r="AC168" s="1354"/>
      <c r="AD168" s="1354"/>
      <c r="AE168" s="1354"/>
      <c r="AF168" s="1354"/>
    </row>
    <row r="169" spans="1:58" ht="13" customHeight="1" x14ac:dyDescent="0.15">
      <c r="A169" s="10" t="s">
        <v>296</v>
      </c>
      <c r="B169" s="17"/>
      <c r="C169" s="17" t="s">
        <v>18</v>
      </c>
      <c r="D169" s="1070"/>
      <c r="E169" s="1071"/>
      <c r="F169" s="1071"/>
      <c r="G169" s="1071"/>
      <c r="H169" s="1071"/>
      <c r="I169" s="1071"/>
      <c r="J169" s="1363"/>
      <c r="K169" s="1381"/>
      <c r="L169" s="1381"/>
      <c r="M169" s="1381"/>
      <c r="N169" s="1381"/>
      <c r="Z169" s="1354"/>
      <c r="AA169" s="1354"/>
      <c r="AB169" s="1354"/>
      <c r="AC169" s="1354"/>
      <c r="AD169" s="1354"/>
      <c r="AE169" s="1354"/>
      <c r="AF169" s="1354"/>
    </row>
    <row r="170" spans="1:58" ht="13" customHeight="1" x14ac:dyDescent="0.15">
      <c r="A170" s="10" t="s">
        <v>297</v>
      </c>
      <c r="B170" s="17"/>
      <c r="C170" s="17" t="s">
        <v>19</v>
      </c>
      <c r="D170" s="1071"/>
      <c r="E170" s="1071"/>
      <c r="F170" s="1071"/>
      <c r="G170" s="1071"/>
      <c r="H170" s="1071"/>
      <c r="I170" s="1071"/>
      <c r="J170" s="1363"/>
      <c r="K170" s="1381"/>
      <c r="L170" s="1381"/>
      <c r="M170" s="1381"/>
      <c r="N170" s="1381"/>
      <c r="Z170" s="1354"/>
      <c r="AA170" s="1354"/>
      <c r="AB170" s="1354"/>
      <c r="AC170" s="1354"/>
      <c r="AD170" s="1354"/>
      <c r="AE170" s="1354"/>
      <c r="AF170" s="1354"/>
    </row>
    <row r="171" spans="1:58" ht="13" customHeight="1" x14ac:dyDescent="0.15">
      <c r="A171" s="10" t="s">
        <v>298</v>
      </c>
      <c r="B171" s="17"/>
      <c r="C171" s="17" t="s">
        <v>20</v>
      </c>
      <c r="D171" s="1071"/>
      <c r="E171" s="1071"/>
      <c r="F171" s="1071"/>
      <c r="G171" s="1071"/>
      <c r="H171" s="1071"/>
      <c r="I171" s="1071"/>
      <c r="J171" s="1363"/>
      <c r="K171" s="1381"/>
      <c r="L171" s="1381"/>
      <c r="M171" s="1381"/>
      <c r="N171" s="1381"/>
      <c r="Z171" s="1354"/>
      <c r="AA171" s="1354"/>
      <c r="AB171" s="1354"/>
      <c r="AC171" s="1354"/>
      <c r="AD171" s="1354"/>
      <c r="AE171" s="1354"/>
      <c r="AF171" s="1354"/>
    </row>
    <row r="172" spans="1:58" ht="13" customHeight="1" x14ac:dyDescent="0.15">
      <c r="A172" s="10" t="s">
        <v>299</v>
      </c>
      <c r="B172" s="17"/>
      <c r="C172" s="17" t="s">
        <v>21</v>
      </c>
      <c r="D172" s="1071"/>
      <c r="E172" s="1071"/>
      <c r="F172" s="1071"/>
      <c r="G172" s="1071"/>
      <c r="H172" s="1071"/>
      <c r="I172" s="1071"/>
      <c r="J172" s="1363"/>
      <c r="K172" s="1381"/>
      <c r="L172" s="1381"/>
      <c r="M172" s="1381"/>
      <c r="N172" s="1381"/>
      <c r="Z172" s="1354"/>
      <c r="AA172" s="1354"/>
      <c r="AB172" s="1354"/>
      <c r="AC172" s="1354"/>
      <c r="AD172" s="1354"/>
      <c r="AE172" s="1354"/>
      <c r="AF172" s="1354"/>
    </row>
    <row r="173" spans="1:58" ht="13" customHeight="1" x14ac:dyDescent="0.15">
      <c r="A173" s="10" t="s">
        <v>300</v>
      </c>
      <c r="B173" s="17"/>
      <c r="C173" s="17" t="s">
        <v>22</v>
      </c>
      <c r="D173" s="1071"/>
      <c r="E173" s="1071"/>
      <c r="F173" s="1071"/>
      <c r="G173" s="1071"/>
      <c r="H173" s="1071"/>
      <c r="I173" s="1071"/>
      <c r="J173" s="1363"/>
      <c r="K173" s="1381"/>
      <c r="L173" s="1381"/>
      <c r="M173" s="1381"/>
      <c r="N173" s="1381"/>
      <c r="Z173" s="1354"/>
      <c r="AA173" s="1354"/>
      <c r="AB173" s="1354"/>
      <c r="AC173" s="1354"/>
      <c r="AD173" s="1354"/>
      <c r="AE173" s="1354"/>
      <c r="AF173" s="1354"/>
    </row>
    <row r="174" spans="1:58" ht="24" customHeight="1" x14ac:dyDescent="0.15">
      <c r="A174" s="10" t="s">
        <v>824</v>
      </c>
      <c r="B174" s="17"/>
      <c r="C174" s="26" t="s">
        <v>23</v>
      </c>
      <c r="D174" s="1070"/>
      <c r="E174" s="1071"/>
      <c r="F174" s="1071"/>
      <c r="G174" s="1071"/>
      <c r="H174" s="1071"/>
      <c r="I174" s="1071"/>
      <c r="J174" s="1363"/>
      <c r="K174" s="1381"/>
      <c r="L174" s="1381"/>
      <c r="M174" s="1381"/>
      <c r="N174" s="1381"/>
      <c r="Z174" s="1354"/>
      <c r="AA174" s="1354"/>
      <c r="AB174" s="1354"/>
      <c r="AC174" s="1354"/>
      <c r="AD174" s="1354"/>
      <c r="AE174" s="1354"/>
      <c r="AF174" s="1354"/>
    </row>
    <row r="175" spans="1:58" ht="13" customHeight="1" x14ac:dyDescent="0.15">
      <c r="A175" s="10" t="s">
        <v>301</v>
      </c>
      <c r="B175" s="17"/>
      <c r="C175" s="17" t="s">
        <v>24</v>
      </c>
      <c r="D175" s="1090"/>
      <c r="E175" s="1091"/>
      <c r="F175" s="1091"/>
      <c r="G175" s="1091"/>
      <c r="H175" s="1091"/>
      <c r="I175" s="1091"/>
      <c r="J175" s="1363" t="s">
        <v>883</v>
      </c>
      <c r="K175" s="1385"/>
      <c r="L175" s="1385"/>
      <c r="M175" s="1385"/>
      <c r="N175" s="1385"/>
      <c r="Z175" s="1354"/>
      <c r="AA175" s="1354"/>
      <c r="AB175" s="1354"/>
      <c r="AC175" s="1354"/>
      <c r="AD175" s="1354"/>
      <c r="AE175" s="1354"/>
      <c r="AF175" s="1354"/>
    </row>
    <row r="176" spans="1:58" ht="34.5" customHeight="1" x14ac:dyDescent="0.15">
      <c r="A176" s="1196" t="s">
        <v>77</v>
      </c>
      <c r="B176" s="17"/>
      <c r="C176" s="17" t="s">
        <v>76</v>
      </c>
      <c r="D176" s="1090"/>
      <c r="E176" s="1091">
        <v>0</v>
      </c>
      <c r="F176" s="1091">
        <v>0</v>
      </c>
      <c r="G176" s="1091"/>
      <c r="H176" s="1091"/>
      <c r="I176" s="1091">
        <f>+'Saisie TCR'!M54</f>
        <v>0</v>
      </c>
      <c r="J176" s="1363" t="s">
        <v>884</v>
      </c>
      <c r="K176" s="1385"/>
      <c r="L176" s="1385"/>
      <c r="M176" s="1385"/>
      <c r="N176" s="1385">
        <f>+'Saisie TCR'!R54</f>
        <v>0</v>
      </c>
      <c r="Z176" s="1354"/>
      <c r="AA176" s="1354"/>
      <c r="AB176" s="1354"/>
      <c r="AC176" s="1354"/>
      <c r="AD176" s="1354"/>
      <c r="AE176" s="1354"/>
      <c r="AF176" s="1354"/>
    </row>
    <row r="177" spans="1:32" ht="15" customHeight="1" x14ac:dyDescent="0.15">
      <c r="B177" s="13" t="s">
        <v>25</v>
      </c>
      <c r="C177" s="17"/>
      <c r="D177" s="1090"/>
      <c r="E177" s="1091"/>
      <c r="F177" s="1091"/>
      <c r="G177" s="1091"/>
      <c r="H177" s="1091"/>
      <c r="I177" s="1091"/>
      <c r="J177" s="1363"/>
      <c r="K177" s="1385"/>
      <c r="L177" s="1385"/>
      <c r="M177" s="1385"/>
      <c r="N177" s="1385"/>
      <c r="Z177" s="1354"/>
      <c r="AA177" s="1354"/>
      <c r="AB177" s="1354"/>
      <c r="AC177" s="1354"/>
      <c r="AD177" s="1354"/>
      <c r="AE177" s="1354"/>
      <c r="AF177" s="1354"/>
    </row>
    <row r="178" spans="1:32" ht="13" customHeight="1" x14ac:dyDescent="0.15">
      <c r="B178" s="17"/>
      <c r="C178" s="17" t="s">
        <v>26</v>
      </c>
      <c r="D178" s="1090"/>
      <c r="E178" s="1091"/>
      <c r="F178" s="1091"/>
      <c r="G178" s="1091"/>
      <c r="H178" s="1091"/>
      <c r="I178" s="1091">
        <f>+'Saisie TCR'!N54</f>
        <v>0</v>
      </c>
      <c r="J178" s="1363"/>
      <c r="K178" s="1385"/>
      <c r="L178" s="1385"/>
      <c r="M178" s="1385"/>
      <c r="N178" s="1385">
        <f>+'Saisie TCR'!S54</f>
        <v>0</v>
      </c>
      <c r="Z178" s="1354"/>
      <c r="AA178" s="1354"/>
      <c r="AB178" s="1354"/>
      <c r="AC178" s="1354"/>
      <c r="AD178" s="1354"/>
      <c r="AE178" s="1354"/>
      <c r="AF178" s="1354"/>
    </row>
    <row r="179" spans="1:32" ht="24" customHeight="1" x14ac:dyDescent="0.15">
      <c r="B179" s="17"/>
      <c r="C179" s="26" t="s">
        <v>27</v>
      </c>
      <c r="D179" s="1104"/>
      <c r="E179" s="1091"/>
      <c r="F179" s="1091"/>
      <c r="G179" s="1091">
        <v>1560.3720000000001</v>
      </c>
      <c r="H179" s="1091"/>
      <c r="I179" s="1091"/>
      <c r="J179" s="1363"/>
      <c r="K179" s="1385"/>
      <c r="L179" s="1385"/>
      <c r="M179" s="1385"/>
      <c r="N179" s="1385"/>
      <c r="Z179" s="1354"/>
      <c r="AA179" s="1354"/>
      <c r="AB179" s="1354"/>
      <c r="AC179" s="1354"/>
      <c r="AD179" s="1354"/>
      <c r="AE179" s="1354"/>
      <c r="AF179" s="1354"/>
    </row>
    <row r="180" spans="1:32" ht="13" customHeight="1" thickBot="1" x14ac:dyDescent="0.2">
      <c r="B180" s="17"/>
      <c r="C180" s="17" t="s">
        <v>28</v>
      </c>
      <c r="D180" s="1092"/>
      <c r="E180" s="1093"/>
      <c r="F180" s="1093"/>
      <c r="G180" s="1093"/>
      <c r="H180" s="1093"/>
      <c r="I180" s="1093"/>
      <c r="J180" s="1363"/>
      <c r="K180" s="1385"/>
      <c r="L180" s="1385"/>
      <c r="M180" s="1385"/>
      <c r="N180" s="1385"/>
      <c r="Z180" s="1354"/>
      <c r="AA180" s="1354"/>
      <c r="AB180" s="1354"/>
      <c r="AC180" s="1354"/>
      <c r="AD180" s="1354"/>
      <c r="AE180" s="1354"/>
      <c r="AF180" s="1354"/>
    </row>
    <row r="181" spans="1:32" ht="13" customHeight="1" thickBot="1" x14ac:dyDescent="0.2">
      <c r="B181" s="49" t="s">
        <v>29</v>
      </c>
      <c r="C181" s="15"/>
      <c r="D181" s="1088">
        <f t="shared" ref="D181:I181" si="33">D182</f>
        <v>0</v>
      </c>
      <c r="E181" s="1088">
        <f t="shared" si="33"/>
        <v>3000.1525000000001</v>
      </c>
      <c r="F181" s="1088">
        <f t="shared" si="33"/>
        <v>6127.6695499999996</v>
      </c>
      <c r="G181" s="1088">
        <f t="shared" si="33"/>
        <v>6938.5937011200003</v>
      </c>
      <c r="H181" s="1088">
        <f t="shared" si="33"/>
        <v>6990.3630000000003</v>
      </c>
      <c r="I181" s="1088">
        <f t="shared" si="33"/>
        <v>3580.982</v>
      </c>
      <c r="J181" s="1363"/>
      <c r="K181" s="1384"/>
      <c r="L181" s="1384"/>
      <c r="M181" s="1384"/>
      <c r="N181" s="1384">
        <f>N182</f>
        <v>0</v>
      </c>
      <c r="Z181" s="1354"/>
      <c r="AA181" s="1354"/>
      <c r="AB181" s="1354"/>
      <c r="AC181" s="1354"/>
      <c r="AD181" s="1354"/>
      <c r="AE181" s="1354"/>
      <c r="AF181" s="1354"/>
    </row>
    <row r="182" spans="1:32" ht="13" customHeight="1" thickBot="1" x14ac:dyDescent="0.2">
      <c r="B182" s="17" t="s">
        <v>502</v>
      </c>
      <c r="C182" s="26"/>
      <c r="D182" s="1102"/>
      <c r="E182" s="1102">
        <f>12000.61*0.25</f>
        <v>3000.1525000000001</v>
      </c>
      <c r="F182" s="1102">
        <f>24510.6782*0.25</f>
        <v>6127.6695499999996</v>
      </c>
      <c r="G182" s="1102">
        <f>28306.926*0.24512</f>
        <v>6938.5937011200003</v>
      </c>
      <c r="H182" s="1102">
        <v>6990.3630000000003</v>
      </c>
      <c r="I182" s="1102">
        <f>+'Saisie TCR'!M53</f>
        <v>3580.982</v>
      </c>
      <c r="J182" s="1363"/>
      <c r="K182" s="1385"/>
      <c r="L182" s="1385"/>
      <c r="M182" s="1385"/>
      <c r="N182" s="1385">
        <f>+'Saisie TCR'!R53</f>
        <v>0</v>
      </c>
      <c r="Z182" s="1354"/>
      <c r="AA182" s="1354"/>
      <c r="AB182" s="1354"/>
      <c r="AC182" s="1354"/>
      <c r="AD182" s="1354"/>
      <c r="AE182" s="1354"/>
      <c r="AF182" s="1354"/>
    </row>
    <row r="183" spans="1:32" ht="15" customHeight="1" thickBot="1" x14ac:dyDescent="0.2">
      <c r="B183" s="53" t="s">
        <v>30</v>
      </c>
      <c r="C183" s="54"/>
      <c r="D183" s="1105">
        <f t="shared" ref="D183:I183" si="34">D165+D166-D181</f>
        <v>0</v>
      </c>
      <c r="E183" s="1105">
        <f t="shared" si="34"/>
        <v>9000.4574999999913</v>
      </c>
      <c r="F183" s="1105">
        <f t="shared" si="34"/>
        <v>18383.026649999963</v>
      </c>
      <c r="G183" s="1105">
        <f t="shared" si="34"/>
        <v>21368.328298880107</v>
      </c>
      <c r="H183" s="1105">
        <f t="shared" si="34"/>
        <v>27766.667000000056</v>
      </c>
      <c r="I183" s="1105">
        <f t="shared" si="34"/>
        <v>17058.914000000026</v>
      </c>
      <c r="J183" s="1363"/>
      <c r="K183" s="1384"/>
      <c r="L183" s="1384"/>
      <c r="M183" s="1384"/>
      <c r="N183" s="1384">
        <f>N165+N166-N181</f>
        <v>0</v>
      </c>
      <c r="Z183" s="1354"/>
      <c r="AA183" s="1354"/>
      <c r="AB183" s="1354"/>
      <c r="AC183" s="1354"/>
      <c r="AD183" s="1354"/>
      <c r="AE183" s="1354"/>
      <c r="AF183" s="1354"/>
    </row>
    <row r="184" spans="1:32" ht="15" customHeight="1" x14ac:dyDescent="0.15">
      <c r="B184" s="55" t="str">
        <f>IF(AND(D184="",E184="",F184="",G184="",H184=""),"","Problème sur RN : Cellule C/G198 = Cellule C/G91 ?")</f>
        <v/>
      </c>
      <c r="C184" s="56"/>
      <c r="D184" s="237" t="str">
        <f t="shared" ref="D184:I184" si="35">IF(AND(D183=0,D78=0),"",IF(AND((D183-D78)&gt;=-0.1,(D183-D78)&lt;=0.1),"","Erreur!"))</f>
        <v/>
      </c>
      <c r="E184" s="237" t="str">
        <f t="shared" si="35"/>
        <v/>
      </c>
      <c r="F184" s="237" t="str">
        <f t="shared" si="35"/>
        <v/>
      </c>
      <c r="G184" s="237" t="str">
        <f t="shared" si="35"/>
        <v/>
      </c>
      <c r="H184" s="237" t="str">
        <f t="shared" si="35"/>
        <v/>
      </c>
      <c r="I184" s="237" t="str">
        <f t="shared" si="35"/>
        <v>Erreur!</v>
      </c>
      <c r="J184" s="1363" t="s">
        <v>875</v>
      </c>
      <c r="K184" s="1395"/>
      <c r="L184" s="1395"/>
      <c r="M184" s="1395"/>
      <c r="N184" s="1395" t="str">
        <f>IF(AND(N183=0,N78=0),"",IF(AND((N183-N78)&gt;=-0.1,(N183-N78)&lt;=0.1),"","Erreur!"))</f>
        <v/>
      </c>
      <c r="Z184" s="1354"/>
      <c r="AA184" s="1354"/>
      <c r="AB184" s="1354"/>
      <c r="AC184" s="1354"/>
      <c r="AD184" s="1354"/>
      <c r="AE184" s="1354"/>
      <c r="AF184" s="1354"/>
    </row>
    <row r="185" spans="1:32" ht="13" customHeight="1" x14ac:dyDescent="0.15">
      <c r="B185" s="57" t="s">
        <v>31</v>
      </c>
      <c r="C185" s="58"/>
      <c r="D185" s="236" t="str">
        <f t="shared" ref="D185:I185" si="36">IF(AND(D183=0,D78=0),"",IF(AND((D183-D78)&gt;=-0.1,(D183-D78)&lt;=0.1),"",D183-D78))</f>
        <v/>
      </c>
      <c r="E185" s="236" t="str">
        <f t="shared" si="36"/>
        <v/>
      </c>
      <c r="F185" s="236" t="str">
        <f t="shared" si="36"/>
        <v/>
      </c>
      <c r="G185" s="236" t="str">
        <f t="shared" si="36"/>
        <v/>
      </c>
      <c r="H185" s="236" t="str">
        <f t="shared" si="36"/>
        <v/>
      </c>
      <c r="I185" s="236">
        <f t="shared" si="36"/>
        <v>2756.5840000000262</v>
      </c>
      <c r="J185" s="1363"/>
      <c r="K185" s="1396"/>
      <c r="L185" s="1396"/>
      <c r="M185" s="1396"/>
      <c r="N185" s="1396" t="str">
        <f>IF(AND(N183=0,N78=0),"",IF(AND((N183-N78)&gt;=-0.1,(N183-N78)&lt;=0.1),"",N183-N78))</f>
        <v/>
      </c>
      <c r="AB185" s="1354"/>
      <c r="AC185" s="1354"/>
      <c r="AD185" s="1354"/>
      <c r="AE185" s="1354"/>
      <c r="AF185" s="1354"/>
    </row>
    <row r="186" spans="1:32" ht="26.25" customHeight="1" x14ac:dyDescent="0.15">
      <c r="A186" s="1186" t="s">
        <v>774</v>
      </c>
      <c r="B186" s="58" t="s">
        <v>32</v>
      </c>
      <c r="C186" s="58"/>
      <c r="D186" s="1080"/>
      <c r="E186" s="1080"/>
      <c r="F186" s="1073"/>
      <c r="G186" s="1073"/>
      <c r="H186" s="1073"/>
      <c r="I186" s="1073"/>
      <c r="J186" s="1363"/>
      <c r="K186" s="1381"/>
      <c r="L186" s="1381"/>
      <c r="M186" s="1381"/>
      <c r="N186" s="1381"/>
      <c r="AB186" s="1354"/>
      <c r="AC186" s="1354"/>
      <c r="AD186" s="1354"/>
      <c r="AE186" s="1354"/>
      <c r="AF186" s="1354"/>
    </row>
    <row r="187" spans="1:32" ht="26.25" customHeight="1" x14ac:dyDescent="0.15">
      <c r="A187" s="1186" t="s">
        <v>775</v>
      </c>
      <c r="B187" s="58" t="s">
        <v>33</v>
      </c>
      <c r="C187" s="58"/>
      <c r="D187" s="1070"/>
      <c r="E187" s="1070"/>
      <c r="F187" s="1071"/>
      <c r="G187" s="1071"/>
      <c r="H187" s="1071"/>
      <c r="I187" s="1071"/>
      <c r="J187" s="1363" t="s">
        <v>885</v>
      </c>
      <c r="K187" s="1381"/>
      <c r="L187" s="1381"/>
      <c r="M187" s="1381"/>
      <c r="N187" s="1381"/>
      <c r="AB187" s="1354"/>
      <c r="AC187" s="1354"/>
      <c r="AD187" s="1354"/>
      <c r="AE187" s="1354"/>
      <c r="AF187" s="1354"/>
    </row>
    <row r="188" spans="1:32" ht="25.5" customHeight="1" x14ac:dyDescent="0.15">
      <c r="A188" s="1186" t="s">
        <v>776</v>
      </c>
      <c r="B188" s="58" t="s">
        <v>34</v>
      </c>
      <c r="C188" s="58"/>
      <c r="D188" s="1070"/>
      <c r="E188" s="1070"/>
      <c r="F188" s="1071"/>
      <c r="G188" s="1071"/>
      <c r="H188" s="1071"/>
      <c r="I188" s="1071"/>
      <c r="J188" s="1363" t="s">
        <v>886</v>
      </c>
      <c r="K188" s="1381"/>
      <c r="L188" s="1381"/>
      <c r="M188" s="1381"/>
      <c r="N188" s="1381"/>
      <c r="AB188" s="1354"/>
      <c r="AC188" s="1354"/>
      <c r="AD188" s="1354"/>
      <c r="AE188" s="1354"/>
      <c r="AF188" s="1354"/>
    </row>
    <row r="189" spans="1:32" ht="13" customHeight="1" x14ac:dyDescent="0.15">
      <c r="B189" s="58" t="s">
        <v>35</v>
      </c>
      <c r="C189" s="58"/>
      <c r="D189" s="1070"/>
      <c r="E189" s="1070"/>
      <c r="F189" s="1071"/>
      <c r="G189" s="1071"/>
      <c r="H189" s="1071"/>
      <c r="I189" s="1071"/>
      <c r="J189" s="1370"/>
      <c r="K189" s="1381"/>
      <c r="L189" s="1381"/>
      <c r="M189" s="1381"/>
      <c r="N189" s="1381"/>
      <c r="Z189" s="1354"/>
      <c r="AA189" s="1354"/>
      <c r="AB189" s="1354"/>
      <c r="AC189" s="1354"/>
      <c r="AD189" s="1354"/>
      <c r="AE189" s="1354"/>
      <c r="AF189" s="1354"/>
    </row>
    <row r="190" spans="1:32" ht="24" customHeight="1" x14ac:dyDescent="0.15">
      <c r="B190" s="59" t="s">
        <v>36</v>
      </c>
      <c r="C190" s="59"/>
      <c r="D190" s="1090"/>
      <c r="E190" s="1090"/>
      <c r="F190" s="1091"/>
      <c r="G190" s="1091"/>
      <c r="H190" s="1091"/>
      <c r="I190" s="1091"/>
      <c r="J190" s="1363"/>
      <c r="K190" s="1385"/>
      <c r="L190" s="1385"/>
      <c r="M190" s="1385"/>
      <c r="N190" s="1385"/>
      <c r="Z190" s="1354"/>
      <c r="AA190" s="1354"/>
      <c r="AB190" s="1354"/>
      <c r="AC190" s="1354"/>
      <c r="AD190" s="1354"/>
      <c r="AE190" s="1354"/>
      <c r="AF190" s="1354"/>
    </row>
    <row r="191" spans="1:32" ht="13" customHeight="1" x14ac:dyDescent="0.15">
      <c r="A191" s="10" t="s">
        <v>197</v>
      </c>
      <c r="B191" s="58" t="s">
        <v>37</v>
      </c>
      <c r="C191" s="58"/>
      <c r="D191" s="1074"/>
      <c r="E191" s="1070"/>
      <c r="F191" s="1106"/>
      <c r="G191" s="1106"/>
      <c r="H191" s="1106"/>
      <c r="I191" s="1106"/>
      <c r="J191" s="1363" t="s">
        <v>887</v>
      </c>
      <c r="K191" s="1381"/>
      <c r="L191" s="1381"/>
      <c r="M191" s="1381"/>
      <c r="N191" s="1381"/>
      <c r="Z191" s="1354"/>
      <c r="AA191" s="1354"/>
      <c r="AB191" s="1354"/>
      <c r="AC191" s="1354"/>
      <c r="AD191" s="1354"/>
      <c r="AE191" s="1354"/>
      <c r="AF191" s="1354"/>
    </row>
    <row r="192" spans="1:32" ht="25.5" customHeight="1" thickBot="1" x14ac:dyDescent="0.2">
      <c r="A192" s="1186" t="s">
        <v>198</v>
      </c>
      <c r="B192" s="60" t="s">
        <v>38</v>
      </c>
      <c r="C192" s="60"/>
      <c r="D192" s="1107"/>
      <c r="E192" s="1108"/>
      <c r="F192" s="1109"/>
      <c r="G192" s="1109"/>
      <c r="H192" s="1109"/>
      <c r="I192" s="1109"/>
      <c r="J192" s="1363" t="s">
        <v>888</v>
      </c>
      <c r="K192" s="1381"/>
      <c r="L192" s="1381"/>
      <c r="M192" s="1381"/>
      <c r="N192" s="1381"/>
      <c r="Z192" s="1354"/>
      <c r="AA192" s="1354"/>
      <c r="AB192" s="1354"/>
      <c r="AC192" s="1354"/>
      <c r="AD192" s="1354"/>
      <c r="AE192" s="1354"/>
      <c r="AF192" s="1354"/>
    </row>
    <row r="193" spans="2:32" ht="13" x14ac:dyDescent="0.15">
      <c r="B193" s="9"/>
      <c r="C193" s="9"/>
      <c r="D193" s="9"/>
      <c r="E193" s="61"/>
      <c r="F193" s="42"/>
      <c r="G193" s="42"/>
      <c r="H193" s="42"/>
      <c r="I193" s="42"/>
      <c r="J193" s="1363"/>
      <c r="K193" s="1397"/>
      <c r="L193" s="1397"/>
      <c r="M193" s="1397"/>
      <c r="N193" s="1397"/>
      <c r="Z193" s="1354"/>
      <c r="AA193" s="1354"/>
      <c r="AB193" s="1354"/>
      <c r="AC193" s="1354"/>
      <c r="AD193" s="1354"/>
      <c r="AE193" s="1354"/>
      <c r="AF193" s="1354"/>
    </row>
    <row r="194" spans="2:32" outlineLevel="1" x14ac:dyDescent="0.15">
      <c r="B194" s="216"/>
      <c r="C194" s="216"/>
      <c r="D194" s="217">
        <f t="shared" ref="D194:I194" si="37">+D3</f>
        <v>38322</v>
      </c>
      <c r="E194" s="217">
        <f t="shared" si="37"/>
        <v>39417</v>
      </c>
      <c r="F194" s="217">
        <f t="shared" si="37"/>
        <v>39783</v>
      </c>
      <c r="G194" s="218">
        <f t="shared" si="37"/>
        <v>40178</v>
      </c>
      <c r="H194" s="218">
        <f t="shared" si="37"/>
        <v>40543</v>
      </c>
      <c r="I194" s="218">
        <f t="shared" si="37"/>
        <v>46022</v>
      </c>
      <c r="J194" s="1363"/>
      <c r="K194" s="1398"/>
      <c r="L194" s="1398"/>
      <c r="M194" s="1398"/>
      <c r="N194" s="1398" t="str">
        <f>+N3</f>
        <v/>
      </c>
      <c r="Z194" s="1354"/>
      <c r="AA194" s="1354"/>
      <c r="AB194" s="1354"/>
      <c r="AC194" s="1354"/>
      <c r="AD194" s="1354"/>
      <c r="AE194" s="1354"/>
      <c r="AF194" s="1354"/>
    </row>
    <row r="195" spans="2:32" ht="13" outlineLevel="1" x14ac:dyDescent="0.15">
      <c r="B195" s="1110" t="s">
        <v>39</v>
      </c>
      <c r="C195" s="1110"/>
      <c r="D195" s="215"/>
      <c r="E195" s="215"/>
      <c r="F195" s="215"/>
      <c r="G195" s="215"/>
      <c r="H195" s="215"/>
      <c r="I195" s="215"/>
      <c r="J195" s="1371"/>
      <c r="K195" s="1399"/>
      <c r="L195" s="1399"/>
      <c r="M195" s="1399"/>
      <c r="N195" s="1399"/>
      <c r="Z195" s="1354"/>
      <c r="AA195" s="1354"/>
      <c r="AB195" s="1354"/>
      <c r="AC195" s="1354"/>
      <c r="AD195" s="1354"/>
      <c r="AE195" s="1354"/>
      <c r="AF195" s="1354"/>
    </row>
    <row r="196" spans="2:32" ht="13" outlineLevel="1" x14ac:dyDescent="0.15">
      <c r="B196" s="215"/>
      <c r="C196" s="215"/>
      <c r="D196" s="215"/>
      <c r="E196" s="215"/>
      <c r="F196" s="215"/>
      <c r="G196" s="215"/>
      <c r="H196" s="215"/>
      <c r="I196" s="215"/>
      <c r="J196" s="1363"/>
      <c r="K196" s="1399"/>
      <c r="L196" s="1399"/>
      <c r="M196" s="1399"/>
      <c r="N196" s="1399"/>
      <c r="Z196" s="1354"/>
      <c r="AA196" s="1354"/>
      <c r="AB196" s="1354"/>
      <c r="AC196" s="1354"/>
      <c r="AD196" s="1354"/>
      <c r="AE196" s="1354"/>
      <c r="AF196" s="1354"/>
    </row>
    <row r="197" spans="2:32" ht="13" outlineLevel="1" x14ac:dyDescent="0.15">
      <c r="B197" s="1111" t="s">
        <v>40</v>
      </c>
      <c r="C197" s="1111"/>
      <c r="D197" s="1111">
        <f t="shared" ref="D197:I197" si="38">+D4+D13</f>
        <v>0</v>
      </c>
      <c r="E197" s="1111">
        <f t="shared" si="38"/>
        <v>88086.06</v>
      </c>
      <c r="F197" s="1111">
        <f t="shared" si="38"/>
        <v>149520.26798</v>
      </c>
      <c r="G197" s="1111">
        <f t="shared" si="38"/>
        <v>161675.93</v>
      </c>
      <c r="H197" s="1111">
        <f t="shared" si="38"/>
        <v>187435.79900000003</v>
      </c>
      <c r="I197" s="1111">
        <f t="shared" si="38"/>
        <v>78788.03</v>
      </c>
      <c r="J197" s="1372" t="s">
        <v>889</v>
      </c>
      <c r="K197" s="1399"/>
      <c r="L197" s="1399"/>
      <c r="M197" s="1399"/>
      <c r="N197" s="1399">
        <f>+N4+N13</f>
        <v>0</v>
      </c>
      <c r="Z197" s="1354"/>
      <c r="AA197" s="1354"/>
      <c r="AB197" s="1354"/>
      <c r="AC197" s="1354"/>
      <c r="AD197" s="1354"/>
      <c r="AE197" s="1354"/>
      <c r="AF197" s="1354"/>
    </row>
    <row r="198" spans="2:32" ht="13" outlineLevel="1" x14ac:dyDescent="0.15">
      <c r="B198" s="1111" t="s">
        <v>41</v>
      </c>
      <c r="C198" s="1111"/>
      <c r="D198" s="1111">
        <f t="shared" ref="D198:I198" si="39">+D17+D19+D20+D27+D28+D29+D30+D31+D32+D33+D36</f>
        <v>0</v>
      </c>
      <c r="E198" s="1111">
        <f t="shared" si="39"/>
        <v>51512.928</v>
      </c>
      <c r="F198" s="1111">
        <f t="shared" si="39"/>
        <v>51512.927649999998</v>
      </c>
      <c r="G198" s="1111">
        <f t="shared" si="39"/>
        <v>4235.3850000000002</v>
      </c>
      <c r="H198" s="1111">
        <f t="shared" si="39"/>
        <v>1847</v>
      </c>
      <c r="I198" s="1111">
        <f t="shared" si="39"/>
        <v>0</v>
      </c>
      <c r="J198" s="1372" t="s">
        <v>889</v>
      </c>
      <c r="K198" s="1399"/>
      <c r="L198" s="1399"/>
      <c r="M198" s="1399"/>
      <c r="N198" s="1399">
        <f>+N17+N19+N20+N27+N28+N29+N30+N31+N32+N33+N36</f>
        <v>0</v>
      </c>
      <c r="Z198" s="1354"/>
      <c r="AA198" s="1354"/>
      <c r="AB198" s="1354"/>
      <c r="AC198" s="1354"/>
      <c r="AD198" s="1354"/>
      <c r="AE198" s="1354"/>
      <c r="AF198" s="1354"/>
    </row>
    <row r="199" spans="2:32" ht="13" outlineLevel="1" x14ac:dyDescent="0.15">
      <c r="B199" s="1111" t="s">
        <v>42</v>
      </c>
      <c r="C199" s="1111"/>
      <c r="D199" s="1111">
        <f t="shared" ref="D199:I199" si="40">+D37+D42+D43+D44+D45+D46+D48+D49+D52+D58+D61+D62</f>
        <v>0</v>
      </c>
      <c r="E199" s="1111">
        <f t="shared" si="40"/>
        <v>264552.89799999999</v>
      </c>
      <c r="F199" s="1111">
        <f t="shared" si="40"/>
        <v>490596.39857000002</v>
      </c>
      <c r="G199" s="1111">
        <f t="shared" si="40"/>
        <v>678287.50399999996</v>
      </c>
      <c r="H199" s="1111">
        <f t="shared" si="40"/>
        <v>1013289.449</v>
      </c>
      <c r="I199" s="1111">
        <f t="shared" si="40"/>
        <v>37556.742000000006</v>
      </c>
      <c r="J199" s="1372" t="s">
        <v>889</v>
      </c>
      <c r="K199" s="1399"/>
      <c r="L199" s="1399"/>
      <c r="M199" s="1399"/>
      <c r="N199" s="1399">
        <f>+N37+N42+N43+N44+N45+N46+N48+N49+N52+N58+N61+N62</f>
        <v>0</v>
      </c>
      <c r="Z199" s="1354"/>
      <c r="AA199" s="1354"/>
      <c r="AB199" s="1354"/>
      <c r="AC199" s="1354"/>
      <c r="AD199" s="1354"/>
      <c r="AE199" s="1354"/>
      <c r="AF199" s="1354"/>
    </row>
    <row r="200" spans="2:32" ht="13" outlineLevel="1" x14ac:dyDescent="0.15">
      <c r="B200" s="1111"/>
      <c r="C200" s="1111"/>
      <c r="D200" s="1111"/>
      <c r="E200" s="1111"/>
      <c r="F200" s="1111"/>
      <c r="G200" s="1111"/>
      <c r="H200" s="1111"/>
      <c r="I200" s="1111"/>
      <c r="J200" s="1372"/>
      <c r="K200" s="1399"/>
      <c r="L200" s="1399"/>
      <c r="M200" s="1399"/>
      <c r="N200" s="1399"/>
      <c r="Z200" s="1354"/>
      <c r="AA200" s="1354"/>
      <c r="AB200" s="1354"/>
      <c r="AC200" s="1354"/>
      <c r="AD200" s="1354"/>
      <c r="AE200" s="1354"/>
      <c r="AF200" s="1354"/>
    </row>
    <row r="201" spans="2:32" ht="13" outlineLevel="1" x14ac:dyDescent="0.15">
      <c r="B201" s="1110" t="s">
        <v>43</v>
      </c>
      <c r="C201" s="1110"/>
      <c r="D201" s="1110">
        <f t="shared" ref="D201:I201" si="41">+D199+D198+D197</f>
        <v>0</v>
      </c>
      <c r="E201" s="1110">
        <f t="shared" si="41"/>
        <v>404151.886</v>
      </c>
      <c r="F201" s="1110">
        <f t="shared" si="41"/>
        <v>691629.59420000005</v>
      </c>
      <c r="G201" s="1110">
        <f t="shared" si="41"/>
        <v>844198.8189999999</v>
      </c>
      <c r="H201" s="1110">
        <f t="shared" si="41"/>
        <v>1202572.2480000001</v>
      </c>
      <c r="I201" s="1110">
        <f t="shared" si="41"/>
        <v>116344.772</v>
      </c>
      <c r="J201" s="1372"/>
      <c r="K201" s="1400"/>
      <c r="L201" s="1400"/>
      <c r="M201" s="1400"/>
      <c r="N201" s="1400">
        <f>+N199+N198+N197</f>
        <v>0</v>
      </c>
      <c r="Z201" s="1354"/>
      <c r="AA201" s="1354"/>
      <c r="AB201" s="1354"/>
      <c r="AC201" s="1354"/>
      <c r="AD201" s="1354"/>
      <c r="AE201" s="1354"/>
      <c r="AF201" s="1354"/>
    </row>
    <row r="202" spans="2:32" ht="13" outlineLevel="1" x14ac:dyDescent="0.15">
      <c r="B202" s="1117" t="s">
        <v>44</v>
      </c>
      <c r="C202" s="1118"/>
      <c r="D202" s="1117">
        <f t="shared" ref="D202:I202" si="42">+D199+D198</f>
        <v>0</v>
      </c>
      <c r="E202" s="1117">
        <f t="shared" si="42"/>
        <v>316065.826</v>
      </c>
      <c r="F202" s="1117">
        <f t="shared" si="42"/>
        <v>542109.32622000005</v>
      </c>
      <c r="G202" s="1117">
        <f t="shared" si="42"/>
        <v>682522.88899999997</v>
      </c>
      <c r="H202" s="1117">
        <f t="shared" si="42"/>
        <v>1015136.449</v>
      </c>
      <c r="I202" s="1117">
        <f t="shared" si="42"/>
        <v>37556.742000000006</v>
      </c>
      <c r="J202" s="1372"/>
      <c r="K202" s="1401"/>
      <c r="L202" s="1401"/>
      <c r="M202" s="1401"/>
      <c r="N202" s="1401">
        <f>+N199+N198</f>
        <v>0</v>
      </c>
      <c r="Z202" s="1354"/>
      <c r="AA202" s="1354"/>
      <c r="AB202" s="1354"/>
      <c r="AC202" s="1354"/>
      <c r="AD202" s="1354"/>
      <c r="AE202" s="1354"/>
      <c r="AF202" s="1354"/>
    </row>
    <row r="203" spans="2:32" ht="13" outlineLevel="1" x14ac:dyDescent="0.15">
      <c r="B203" s="215"/>
      <c r="C203" s="214"/>
      <c r="D203" s="214"/>
      <c r="E203" s="214"/>
      <c r="F203" s="214"/>
      <c r="G203" s="214"/>
      <c r="H203" s="214"/>
      <c r="I203" s="214"/>
      <c r="J203" s="1372"/>
      <c r="K203" s="1399"/>
      <c r="L203" s="1399"/>
      <c r="M203" s="1399"/>
      <c r="N203" s="1399"/>
      <c r="Z203" s="1354"/>
      <c r="AA203" s="1361"/>
      <c r="AB203" s="1361"/>
      <c r="AC203" s="1361"/>
      <c r="AD203" s="1361"/>
      <c r="AE203" s="1361"/>
      <c r="AF203" s="1361"/>
    </row>
    <row r="204" spans="2:32" ht="13" outlineLevel="1" x14ac:dyDescent="0.15">
      <c r="B204" s="1110" t="s">
        <v>45</v>
      </c>
      <c r="C204" s="1110"/>
      <c r="D204" s="215"/>
      <c r="E204" s="215"/>
      <c r="F204" s="215"/>
      <c r="G204" s="215"/>
      <c r="H204" s="215"/>
      <c r="I204" s="215"/>
      <c r="J204" s="1372"/>
      <c r="K204" s="1399"/>
      <c r="L204" s="1399"/>
      <c r="M204" s="1399"/>
      <c r="N204" s="1399"/>
      <c r="Z204" s="1354"/>
      <c r="AA204" s="1354"/>
      <c r="AB204" s="1354"/>
      <c r="AC204" s="1354"/>
      <c r="AD204" s="1354"/>
      <c r="AE204" s="1354"/>
      <c r="AF204" s="1354"/>
    </row>
    <row r="205" spans="2:32" ht="13" outlineLevel="1" x14ac:dyDescent="0.15">
      <c r="B205" s="215"/>
      <c r="C205" s="215"/>
      <c r="D205" s="215"/>
      <c r="E205" s="215"/>
      <c r="F205" s="215"/>
      <c r="G205" s="215"/>
      <c r="H205" s="215"/>
      <c r="I205" s="215"/>
      <c r="J205" s="1372"/>
      <c r="K205" s="1399"/>
      <c r="L205" s="1399"/>
      <c r="M205" s="1399"/>
      <c r="N205" s="1399"/>
      <c r="Z205" s="1354"/>
      <c r="AA205" s="1354"/>
      <c r="AB205" s="1354"/>
      <c r="AC205" s="1354"/>
      <c r="AD205" s="1354"/>
      <c r="AE205" s="1354"/>
      <c r="AF205" s="1354"/>
    </row>
    <row r="206" spans="2:32" ht="13" outlineLevel="1" x14ac:dyDescent="0.15">
      <c r="B206" s="1111" t="s">
        <v>40</v>
      </c>
      <c r="C206" s="1111"/>
      <c r="D206" s="1112">
        <f>+D4-D10+D13-D15</f>
        <v>0</v>
      </c>
      <c r="E206" s="1112">
        <f>+Etatsfin!D14</f>
        <v>64109.395999999993</v>
      </c>
      <c r="F206" s="1112">
        <f>+Etatsfin!E14</f>
        <v>106180.12602</v>
      </c>
      <c r="G206" s="1112">
        <f>+[2]Etatsfin!F14</f>
        <v>97448.093999999983</v>
      </c>
      <c r="H206" s="1112">
        <f>+Etatsfin!G14</f>
        <v>95650.075000000041</v>
      </c>
      <c r="I206" s="1112">
        <f>+Etatsfin!H14</f>
        <v>49709.865999999995</v>
      </c>
      <c r="J206" s="1373" t="s">
        <v>889</v>
      </c>
      <c r="K206" s="1401"/>
      <c r="L206" s="1401"/>
      <c r="M206" s="1401"/>
      <c r="N206" s="1401" t="e">
        <f>+'[1]a remplir sur model'!#REF!</f>
        <v>#REF!</v>
      </c>
      <c r="Z206" s="1354"/>
      <c r="AA206" s="1354"/>
      <c r="AB206" s="1354"/>
      <c r="AC206" s="1354"/>
      <c r="AD206" s="1354"/>
      <c r="AE206" s="1354"/>
      <c r="AF206" s="1354"/>
    </row>
    <row r="207" spans="2:32" ht="13" outlineLevel="1" x14ac:dyDescent="0.15">
      <c r="B207" s="1111" t="s">
        <v>41</v>
      </c>
      <c r="C207" s="1111"/>
      <c r="D207" s="1112">
        <f>+D17+D20+D33</f>
        <v>0</v>
      </c>
      <c r="E207" s="1112">
        <f>+Etatsfin!D8-Etatsfin!D14</f>
        <v>51512.928</v>
      </c>
      <c r="F207" s="1112">
        <f>+Etatsfin!E8-Etatsfin!E14</f>
        <v>51512.927649999998</v>
      </c>
      <c r="G207" s="1112">
        <f>+[2]Etatsfin!F8-[2]Etatsfin!F14</f>
        <v>4235.3849999999948</v>
      </c>
      <c r="H207" s="1112">
        <f>+Etatsfin!G8-Etatsfin!G14</f>
        <v>1847</v>
      </c>
      <c r="I207" s="1112">
        <f>+Etatsfin!H8-Etatsfin!H14</f>
        <v>0</v>
      </c>
      <c r="J207" s="1373" t="s">
        <v>889</v>
      </c>
      <c r="K207" s="1401"/>
      <c r="L207" s="1401"/>
      <c r="M207" s="1401"/>
      <c r="N207" s="1401" t="e">
        <f>+'[1]a remplir sur model'!#REF!-'[1]a remplir sur model'!#REF!</f>
        <v>#REF!</v>
      </c>
      <c r="Z207" s="1354"/>
      <c r="AA207" s="1354"/>
      <c r="AB207" s="1354"/>
      <c r="AC207" s="1354"/>
      <c r="AD207" s="1354"/>
      <c r="AE207" s="1354"/>
      <c r="AF207" s="1354"/>
    </row>
    <row r="208" spans="2:32" ht="13" outlineLevel="1" x14ac:dyDescent="0.15">
      <c r="B208" s="1111" t="s">
        <v>42</v>
      </c>
      <c r="C208" s="1111"/>
      <c r="D208" s="1112">
        <f>+D37+D46+D49+D58+D62</f>
        <v>0</v>
      </c>
      <c r="E208" s="1112">
        <f>+Etatsfin!D21</f>
        <v>262353.71600000001</v>
      </c>
      <c r="F208" s="1112">
        <f>+Etatsfin!E21</f>
        <v>488397.21701000002</v>
      </c>
      <c r="G208" s="1112">
        <f>+[2]Etatsfin!F21</f>
        <v>676088.32299999997</v>
      </c>
      <c r="H208" s="1112">
        <f>+Etatsfin!G21</f>
        <v>1011090.268</v>
      </c>
      <c r="I208" s="1112">
        <f>+Etatsfin!H21</f>
        <v>35357.561000000002</v>
      </c>
      <c r="J208" s="1373" t="s">
        <v>889</v>
      </c>
      <c r="K208" s="1401"/>
      <c r="L208" s="1401"/>
      <c r="M208" s="1401"/>
      <c r="N208" s="1401" t="e">
        <f>+'[1]a remplir sur model'!#REF!</f>
        <v>#REF!</v>
      </c>
      <c r="Z208" s="1354"/>
      <c r="AA208" s="1354"/>
      <c r="AB208" s="1354"/>
      <c r="AC208" s="1354"/>
      <c r="AD208" s="1354"/>
      <c r="AE208" s="1354"/>
      <c r="AF208" s="1354"/>
    </row>
    <row r="209" spans="2:32" ht="13" outlineLevel="1" x14ac:dyDescent="0.15">
      <c r="B209" s="1111"/>
      <c r="C209" s="1111"/>
      <c r="D209" s="1111"/>
      <c r="E209" s="1111"/>
      <c r="F209" s="1111"/>
      <c r="G209" s="1111"/>
      <c r="H209" s="1111"/>
      <c r="I209" s="1111"/>
      <c r="J209" s="1372"/>
      <c r="K209" s="1399"/>
      <c r="L209" s="1399"/>
      <c r="M209" s="1399"/>
      <c r="N209" s="1399"/>
      <c r="Z209" s="1354"/>
      <c r="AA209" s="1354"/>
      <c r="AB209" s="1354"/>
      <c r="AC209" s="1354"/>
      <c r="AD209" s="1354"/>
      <c r="AE209" s="1354"/>
      <c r="AF209" s="1354"/>
    </row>
    <row r="210" spans="2:32" ht="13" outlineLevel="1" x14ac:dyDescent="0.15">
      <c r="B210" s="1110" t="s">
        <v>46</v>
      </c>
      <c r="C210" s="1111"/>
      <c r="D210" s="1113">
        <f t="shared" ref="D210:I210" si="43">+D208+D207+D206</f>
        <v>0</v>
      </c>
      <c r="E210" s="1113">
        <f t="shared" si="43"/>
        <v>377976.04000000004</v>
      </c>
      <c r="F210" s="1113">
        <f t="shared" si="43"/>
        <v>646090.27067999996</v>
      </c>
      <c r="G210" s="1113">
        <f t="shared" si="43"/>
        <v>777771.80199999991</v>
      </c>
      <c r="H210" s="1113">
        <f t="shared" si="43"/>
        <v>1108587.3430000001</v>
      </c>
      <c r="I210" s="1113">
        <f t="shared" si="43"/>
        <v>85067.426999999996</v>
      </c>
      <c r="J210" s="1373"/>
      <c r="K210" s="1402"/>
      <c r="L210" s="1402"/>
      <c r="M210" s="1402"/>
      <c r="N210" s="1402" t="e">
        <f>+N208+N207+N206</f>
        <v>#REF!</v>
      </c>
      <c r="Z210" s="1354"/>
      <c r="AA210" s="1354"/>
      <c r="AB210" s="1354"/>
      <c r="AC210" s="1354"/>
      <c r="AD210" s="1354"/>
      <c r="AE210" s="1354"/>
      <c r="AF210" s="1354"/>
    </row>
    <row r="211" spans="2:32" ht="13" outlineLevel="1" x14ac:dyDescent="0.15">
      <c r="B211" s="1112" t="s">
        <v>44</v>
      </c>
      <c r="C211" s="1113"/>
      <c r="D211" s="1112">
        <f t="shared" ref="D211:I211" si="44">+D208+D207</f>
        <v>0</v>
      </c>
      <c r="E211" s="1112">
        <f t="shared" si="44"/>
        <v>313866.64400000003</v>
      </c>
      <c r="F211" s="1112">
        <f t="shared" si="44"/>
        <v>539910.14465999999</v>
      </c>
      <c r="G211" s="1112">
        <f t="shared" si="44"/>
        <v>680323.70799999998</v>
      </c>
      <c r="H211" s="1112">
        <f t="shared" si="44"/>
        <v>1012937.268</v>
      </c>
      <c r="I211" s="1112">
        <f t="shared" si="44"/>
        <v>35357.561000000002</v>
      </c>
      <c r="J211" s="1372"/>
      <c r="K211" s="1401"/>
      <c r="L211" s="1401"/>
      <c r="M211" s="1401"/>
      <c r="N211" s="1401" t="e">
        <f>+N208+N207</f>
        <v>#REF!</v>
      </c>
      <c r="Z211" s="1354"/>
      <c r="AA211" s="1354"/>
      <c r="AB211" s="1354"/>
      <c r="AC211" s="1354"/>
      <c r="AD211" s="1354"/>
      <c r="AE211" s="1354"/>
      <c r="AF211" s="1354"/>
    </row>
    <row r="212" spans="2:32" ht="13" outlineLevel="1" x14ac:dyDescent="0.15">
      <c r="B212" s="215"/>
      <c r="C212" s="214"/>
      <c r="D212" s="223" t="e">
        <f>+IF(D210&lt;&gt;#REF!,"erreur !","")</f>
        <v>#REF!</v>
      </c>
      <c r="E212" s="223" t="str">
        <f>+IF(E210&lt;&gt;Etatsfin!D31,"erreur !","")</f>
        <v/>
      </c>
      <c r="F212" s="223" t="str">
        <f>+IF(F210&lt;&gt;Etatsfin!E31,"erreur !","")</f>
        <v/>
      </c>
      <c r="G212" s="223"/>
      <c r="H212" s="223"/>
      <c r="I212" s="223"/>
      <c r="J212" s="1374"/>
      <c r="K212" s="1403"/>
      <c r="L212" s="1403"/>
      <c r="M212" s="1403"/>
      <c r="N212" s="1403"/>
      <c r="Z212" s="1354"/>
      <c r="AA212" s="1354"/>
      <c r="AB212" s="1354"/>
      <c r="AC212" s="1354"/>
      <c r="AD212" s="1354"/>
      <c r="AE212" s="1354"/>
      <c r="AF212" s="1354"/>
    </row>
    <row r="213" spans="2:32" ht="13" outlineLevel="1" x14ac:dyDescent="0.15">
      <c r="B213" s="1110" t="s">
        <v>47</v>
      </c>
      <c r="C213" s="1111"/>
      <c r="D213" s="1111"/>
      <c r="E213" s="1113">
        <f>+E214+E215</f>
        <v>0</v>
      </c>
      <c r="F213" s="1113">
        <f>+F214+F215</f>
        <v>0</v>
      </c>
      <c r="G213" s="1113">
        <f>+G214+G215</f>
        <v>0</v>
      </c>
      <c r="H213" s="1113">
        <f>+H214+H215</f>
        <v>0</v>
      </c>
      <c r="I213" s="1113">
        <f>+I214+I215</f>
        <v>0</v>
      </c>
      <c r="J213" s="1373" t="s">
        <v>889</v>
      </c>
      <c r="K213" s="1402"/>
      <c r="L213" s="1402"/>
      <c r="M213" s="1402"/>
      <c r="N213" s="1402">
        <f>+N214+N215</f>
        <v>0</v>
      </c>
      <c r="Z213" s="1354"/>
      <c r="AA213" s="1354"/>
      <c r="AB213" s="1354"/>
      <c r="AC213" s="1354"/>
      <c r="AD213" s="1354"/>
      <c r="AE213" s="1354"/>
      <c r="AF213" s="1354"/>
    </row>
    <row r="214" spans="2:32" outlineLevel="1" thickBot="1" x14ac:dyDescent="0.2">
      <c r="B214" s="1111" t="s">
        <v>48</v>
      </c>
      <c r="C214" s="1111"/>
      <c r="D214" s="1111"/>
      <c r="E214" s="1112">
        <f>+E186</f>
        <v>0</v>
      </c>
      <c r="F214" s="1112">
        <f>+F186</f>
        <v>0</v>
      </c>
      <c r="G214" s="1112">
        <f>+G186</f>
        <v>0</v>
      </c>
      <c r="H214" s="1112">
        <f>+H186</f>
        <v>0</v>
      </c>
      <c r="I214" s="1112">
        <f>+I186</f>
        <v>0</v>
      </c>
      <c r="J214" s="1373" t="s">
        <v>890</v>
      </c>
      <c r="K214" s="1401"/>
      <c r="L214" s="1401"/>
      <c r="M214" s="1401"/>
      <c r="N214" s="1401">
        <f>+N186</f>
        <v>0</v>
      </c>
      <c r="Z214" s="1354"/>
      <c r="AA214" s="1354"/>
      <c r="AB214" s="1354"/>
      <c r="AC214" s="1354"/>
      <c r="AD214" s="1354"/>
      <c r="AE214" s="1354"/>
      <c r="AF214" s="1354"/>
    </row>
    <row r="215" spans="2:32" thickBot="1" x14ac:dyDescent="0.2">
      <c r="B215" s="1119" t="s">
        <v>49</v>
      </c>
      <c r="C215" s="1125"/>
      <c r="D215" s="1121"/>
      <c r="E215" s="1114"/>
      <c r="F215" s="1115"/>
      <c r="G215" s="1116"/>
      <c r="H215" s="1116"/>
      <c r="I215" s="1116"/>
      <c r="J215" s="1363" t="s">
        <v>891</v>
      </c>
      <c r="K215" s="1404"/>
      <c r="L215" s="1404"/>
      <c r="M215" s="1404"/>
      <c r="N215" s="1404"/>
      <c r="O215" s="1360"/>
      <c r="P215" s="1360"/>
      <c r="Q215" s="1360"/>
      <c r="R215" s="1360"/>
      <c r="Z215" s="1354"/>
      <c r="AA215" s="1354"/>
      <c r="AB215" s="1354"/>
      <c r="AC215" s="1354"/>
      <c r="AD215" s="1354"/>
      <c r="AE215" s="1354"/>
      <c r="AF215" s="1354"/>
    </row>
    <row r="216" spans="2:32" ht="13" x14ac:dyDescent="0.15">
      <c r="B216" s="215"/>
      <c r="C216" s="214"/>
      <c r="D216" s="214"/>
      <c r="E216" s="214"/>
      <c r="F216" s="214"/>
      <c r="G216" s="214"/>
      <c r="H216" s="214"/>
      <c r="I216" s="214"/>
      <c r="J216" s="1366"/>
      <c r="K216" s="1399"/>
      <c r="L216" s="1399"/>
      <c r="M216" s="1399"/>
      <c r="N216" s="1399"/>
      <c r="Z216" s="1354"/>
      <c r="AA216" s="1354"/>
      <c r="AB216" s="1354"/>
      <c r="AC216" s="1354"/>
      <c r="AD216" s="1354"/>
      <c r="AE216" s="1354"/>
      <c r="AF216" s="1354"/>
    </row>
    <row r="217" spans="2:32" thickBot="1" x14ac:dyDescent="0.2">
      <c r="B217" s="215"/>
      <c r="C217" s="214"/>
      <c r="D217" s="214"/>
      <c r="E217" s="214"/>
      <c r="F217" s="214"/>
      <c r="G217" s="214"/>
      <c r="H217" s="214"/>
      <c r="I217" s="214"/>
      <c r="J217" s="1363"/>
      <c r="K217" s="1399"/>
      <c r="L217" s="1399"/>
      <c r="M217" s="1399"/>
      <c r="N217" s="1399"/>
      <c r="Z217" s="1354"/>
      <c r="AA217" s="1361"/>
      <c r="AB217" s="1361"/>
      <c r="AC217" s="1361"/>
      <c r="AD217" s="1361"/>
      <c r="AE217" s="1361"/>
      <c r="AF217" s="1361"/>
    </row>
    <row r="218" spans="2:32" thickBot="1" x14ac:dyDescent="0.2">
      <c r="B218" s="219" t="s">
        <v>50</v>
      </c>
      <c r="C218" s="220"/>
      <c r="D218" s="1120"/>
      <c r="E218" s="221">
        <f>E166-E187+E213+E202-E211-D202+D211+E188-E215-E151+E84-D84+E105-D105+E106-D106+E111-D111+D56-E56</f>
        <v>1100.0219999999972</v>
      </c>
      <c r="F218" s="221">
        <f>F166-F187+F213+F202-F211-E202+E211+F188-F215-F151+F84-E84+F105-E105+F106-E106+F111-E111+E56-F56</f>
        <v>5896.4235400000471</v>
      </c>
      <c r="G218" s="221">
        <f>G166-G187+G213+G202-G211-F202+F211+G188-G215-G151+G84-F84+G105-F105+G106-F106+G111-F111+F56-G56</f>
        <v>-11395.678560000029</v>
      </c>
      <c r="H218" s="221">
        <f>H166-H187+H213+H202-H211-G202+G211+H188-H215-H151+H84-G84+H105-G105+H106-G106+H111-G111+G56-H56</f>
        <v>2776.9540000000002</v>
      </c>
      <c r="I218" s="221">
        <f>I166-I187+I213+I202-I211-H202+H211+I188-I215-I151+I84-H84+I105-H105+I106-H106+I111-H111+H56-I56</f>
        <v>3845.1690000000003</v>
      </c>
      <c r="J218" s="1369"/>
      <c r="K218" s="1402"/>
      <c r="L218" s="1402"/>
      <c r="M218" s="1402"/>
      <c r="N218" s="1402" t="e">
        <f>N166-N187+N213+N202-N211-#REF!+#REF!+N188-N215-N151+N84-#REF!+N105-#REF!+N106-#REF!+N111-#REF!+#REF!-N56</f>
        <v>#REF!</v>
      </c>
      <c r="Z218" s="1354"/>
      <c r="AA218" s="1354"/>
      <c r="AB218" s="1354"/>
      <c r="AC218" s="1354"/>
      <c r="AD218" s="1354"/>
      <c r="AE218" s="1354"/>
      <c r="AF218" s="1354"/>
    </row>
    <row r="219" spans="2:32" ht="13" x14ac:dyDescent="0.15">
      <c r="B219" s="215"/>
      <c r="C219" s="214"/>
      <c r="D219" s="214"/>
      <c r="E219" s="214"/>
      <c r="F219" s="214"/>
      <c r="G219" s="214"/>
      <c r="H219" s="214"/>
      <c r="I219" s="214"/>
      <c r="J219" s="1363"/>
      <c r="K219" s="1399"/>
      <c r="L219" s="1399"/>
      <c r="M219" s="1399"/>
      <c r="N219" s="1399"/>
      <c r="Z219" s="1354"/>
      <c r="AA219" s="1361"/>
      <c r="AB219" s="1361"/>
      <c r="AC219" s="1361"/>
      <c r="AD219" s="1361"/>
      <c r="AE219" s="1361"/>
      <c r="AF219" s="1361"/>
    </row>
    <row r="220" spans="2:32" ht="13" x14ac:dyDescent="0.15">
      <c r="B220" s="1123" t="s">
        <v>620</v>
      </c>
      <c r="E220" s="10"/>
      <c r="F220" s="10"/>
      <c r="G220" s="10"/>
      <c r="H220" s="10"/>
      <c r="I220" s="10"/>
      <c r="J220" s="1375"/>
      <c r="K220" s="1405"/>
      <c r="L220" s="1405"/>
      <c r="M220" s="1405"/>
      <c r="N220" s="1405"/>
      <c r="Z220" s="1354"/>
      <c r="AA220" s="1354"/>
      <c r="AB220" s="1354"/>
      <c r="AC220" s="1354"/>
      <c r="AD220" s="1354"/>
      <c r="AE220" s="1354"/>
      <c r="AF220" s="1354"/>
    </row>
    <row r="221" spans="2:32" ht="13" x14ac:dyDescent="0.15">
      <c r="B221" s="1123" t="s">
        <v>654</v>
      </c>
      <c r="E221" s="10"/>
      <c r="F221" s="10"/>
      <c r="G221" s="10"/>
      <c r="H221" s="10"/>
      <c r="I221" s="10"/>
      <c r="J221" s="1363"/>
      <c r="K221" s="1405"/>
      <c r="L221" s="1405"/>
      <c r="M221" s="1405"/>
      <c r="N221" s="1405"/>
      <c r="Z221" s="1354"/>
      <c r="AA221" s="1354"/>
      <c r="AB221" s="1354"/>
      <c r="AC221" s="1354"/>
      <c r="AD221" s="1354"/>
      <c r="AE221" s="1354"/>
      <c r="AF221" s="1354"/>
    </row>
    <row r="222" spans="2:32" ht="13" x14ac:dyDescent="0.15">
      <c r="B222" s="1123" t="s">
        <v>347</v>
      </c>
      <c r="E222" s="10"/>
      <c r="F222" s="10"/>
      <c r="G222" s="10"/>
      <c r="H222" s="10"/>
      <c r="I222" s="10"/>
      <c r="J222" s="1363"/>
      <c r="K222" s="1405"/>
      <c r="L222" s="1405"/>
      <c r="M222" s="1405"/>
      <c r="N222" s="1405"/>
      <c r="Z222" s="1354"/>
      <c r="AA222" s="1354"/>
      <c r="AB222" s="1354"/>
      <c r="AC222" s="1354"/>
      <c r="AD222" s="1354"/>
      <c r="AE222" s="1354"/>
      <c r="AF222" s="1354"/>
    </row>
    <row r="223" spans="2:32" ht="13" x14ac:dyDescent="0.15">
      <c r="B223" s="1122" t="s">
        <v>348</v>
      </c>
      <c r="E223" s="10"/>
      <c r="F223" s="10"/>
      <c r="G223" s="10"/>
      <c r="H223" s="10"/>
      <c r="I223" s="10"/>
      <c r="J223" s="1363"/>
      <c r="K223" s="1405"/>
      <c r="L223" s="1405"/>
      <c r="M223" s="1405"/>
      <c r="N223" s="1405"/>
      <c r="Z223" s="1354"/>
      <c r="AA223" s="1354"/>
      <c r="AB223" s="1354"/>
      <c r="AC223" s="1354"/>
      <c r="AD223" s="1354"/>
      <c r="AE223" s="1354"/>
      <c r="AF223" s="1354"/>
    </row>
    <row r="224" spans="2:32" ht="13" x14ac:dyDescent="0.15">
      <c r="B224" s="1122" t="s">
        <v>650</v>
      </c>
      <c r="E224" s="10"/>
      <c r="F224" s="10"/>
      <c r="G224" s="10"/>
      <c r="H224" s="10"/>
      <c r="I224" s="10"/>
      <c r="J224" s="1363"/>
      <c r="K224" s="1405"/>
      <c r="L224" s="1405"/>
      <c r="M224" s="1405"/>
      <c r="N224" s="1405"/>
      <c r="Z224" s="1354"/>
      <c r="AA224" s="1354"/>
      <c r="AB224" s="1354"/>
      <c r="AC224" s="1354"/>
      <c r="AD224" s="1354"/>
      <c r="AE224" s="1354"/>
      <c r="AF224" s="1354"/>
    </row>
    <row r="225" spans="2:32" ht="13" x14ac:dyDescent="0.15">
      <c r="B225" s="1123" t="s">
        <v>651</v>
      </c>
      <c r="E225" s="10"/>
      <c r="F225" s="10"/>
      <c r="G225" s="10"/>
      <c r="H225" s="10"/>
      <c r="I225" s="10"/>
      <c r="J225" s="1363"/>
      <c r="K225" s="1405"/>
      <c r="L225" s="1405"/>
      <c r="M225" s="1405"/>
      <c r="N225" s="1405"/>
      <c r="Z225" s="1354"/>
      <c r="AA225" s="1354"/>
      <c r="AB225" s="1354"/>
      <c r="AC225" s="1354"/>
      <c r="AD225" s="1354"/>
      <c r="AE225" s="1354"/>
      <c r="AF225" s="1354"/>
    </row>
    <row r="226" spans="2:32" ht="13" x14ac:dyDescent="0.15">
      <c r="B226" s="1122" t="s">
        <v>652</v>
      </c>
      <c r="E226" s="10"/>
      <c r="F226" s="10"/>
      <c r="G226" s="10"/>
      <c r="H226" s="10"/>
      <c r="I226" s="10"/>
      <c r="J226" s="1363"/>
      <c r="K226" s="1405"/>
      <c r="L226" s="1405"/>
      <c r="M226" s="1405"/>
      <c r="N226" s="1405"/>
      <c r="Z226" s="1354"/>
      <c r="AA226" s="1354"/>
      <c r="AB226" s="1354"/>
      <c r="AC226" s="1354"/>
      <c r="AD226" s="1354"/>
      <c r="AE226" s="1354"/>
      <c r="AF226" s="1354"/>
    </row>
    <row r="227" spans="2:32" ht="13" x14ac:dyDescent="0.15">
      <c r="B227" s="1122" t="s">
        <v>649</v>
      </c>
      <c r="E227" s="10"/>
      <c r="F227" s="10"/>
      <c r="G227" s="10"/>
      <c r="H227" s="10"/>
      <c r="I227" s="10"/>
      <c r="J227" s="1363"/>
      <c r="K227" s="1405"/>
      <c r="L227" s="1405"/>
      <c r="M227" s="1405"/>
      <c r="N227" s="1405"/>
      <c r="Z227" s="1354"/>
      <c r="AA227" s="1361"/>
      <c r="AB227" s="1361"/>
      <c r="AC227" s="1361"/>
      <c r="AD227" s="1361"/>
      <c r="AE227" s="1361"/>
      <c r="AF227" s="1361"/>
    </row>
    <row r="228" spans="2:32" ht="13" x14ac:dyDescent="0.15">
      <c r="B228" s="1122" t="s">
        <v>653</v>
      </c>
      <c r="E228" s="10"/>
      <c r="F228" s="10"/>
      <c r="G228" s="10"/>
      <c r="H228" s="10"/>
      <c r="I228" s="10"/>
      <c r="J228" s="1366"/>
      <c r="K228" s="1405"/>
      <c r="L228" s="1405"/>
      <c r="M228" s="1405"/>
      <c r="N228" s="1405"/>
      <c r="Z228" s="1354"/>
      <c r="AA228" s="1354"/>
      <c r="AB228" s="1354"/>
      <c r="AC228" s="1354"/>
      <c r="AD228" s="1354"/>
      <c r="AE228" s="1354"/>
      <c r="AF228" s="1354"/>
    </row>
    <row r="229" spans="2:32" ht="13" x14ac:dyDescent="0.15">
      <c r="B229" s="1123" t="s">
        <v>655</v>
      </c>
      <c r="E229" s="10"/>
      <c r="F229" s="10"/>
      <c r="G229" s="10"/>
      <c r="H229" s="10"/>
      <c r="I229" s="10"/>
      <c r="J229" s="1363"/>
      <c r="K229" s="1405"/>
      <c r="L229" s="1405"/>
      <c r="M229" s="1405"/>
      <c r="N229" s="1405"/>
      <c r="Z229" s="1354"/>
      <c r="AA229" s="1354"/>
      <c r="AB229" s="1354"/>
      <c r="AC229" s="1354"/>
      <c r="AD229" s="1354"/>
      <c r="AE229" s="1354"/>
      <c r="AF229" s="1354"/>
    </row>
    <row r="230" spans="2:32" ht="13" x14ac:dyDescent="0.15">
      <c r="B230" s="1124" t="s">
        <v>656</v>
      </c>
      <c r="D230" s="62"/>
      <c r="E230" s="63"/>
      <c r="H230" s="231"/>
      <c r="I230" s="231"/>
      <c r="J230" s="1366"/>
      <c r="K230" s="1406"/>
      <c r="L230" s="1406"/>
      <c r="M230" s="1406"/>
      <c r="N230" s="1406"/>
      <c r="Z230" s="1354"/>
      <c r="AA230" s="1354"/>
      <c r="AB230" s="1354"/>
      <c r="AC230" s="1354"/>
      <c r="AD230" s="1354"/>
      <c r="AE230" s="1354"/>
      <c r="AF230" s="1354"/>
    </row>
    <row r="231" spans="2:32" ht="13" x14ac:dyDescent="0.15">
      <c r="B231" s="1122" t="s">
        <v>78</v>
      </c>
      <c r="D231" s="62"/>
      <c r="E231" s="63"/>
      <c r="H231" s="10"/>
      <c r="I231" s="10"/>
      <c r="J231" s="1363"/>
      <c r="K231" s="1405"/>
      <c r="L231" s="1405"/>
      <c r="M231" s="1405"/>
      <c r="N231" s="1405"/>
      <c r="Z231" s="1354"/>
      <c r="AA231" s="1354"/>
      <c r="AB231" s="1354"/>
      <c r="AC231" s="1354"/>
      <c r="AD231" s="1354"/>
      <c r="AE231" s="1354"/>
      <c r="AF231" s="1354"/>
    </row>
    <row r="232" spans="2:32" ht="13" x14ac:dyDescent="0.15">
      <c r="B232" s="1124" t="s">
        <v>105</v>
      </c>
      <c r="D232" s="62"/>
      <c r="E232" s="63"/>
      <c r="H232" s="10"/>
      <c r="I232" s="10"/>
      <c r="J232" s="1363"/>
      <c r="K232" s="1405"/>
      <c r="L232" s="1405"/>
      <c r="M232" s="1405"/>
      <c r="N232" s="1405"/>
      <c r="Z232" s="1354"/>
      <c r="AA232" s="1354"/>
      <c r="AB232" s="1354"/>
      <c r="AC232" s="1354"/>
      <c r="AD232" s="1354"/>
      <c r="AE232" s="1354"/>
      <c r="AF232" s="1354"/>
    </row>
    <row r="233" spans="2:32" ht="13" x14ac:dyDescent="0.15">
      <c r="B233" s="1124" t="s">
        <v>106</v>
      </c>
      <c r="D233" s="62"/>
      <c r="E233" s="63"/>
      <c r="H233" s="10"/>
      <c r="I233" s="10"/>
      <c r="J233" s="1363"/>
      <c r="K233" s="1405"/>
      <c r="L233" s="1405"/>
      <c r="M233" s="1405"/>
      <c r="N233" s="1405"/>
      <c r="Z233" s="1354"/>
      <c r="AA233" s="1354"/>
      <c r="AB233" s="1354"/>
      <c r="AC233" s="1354"/>
      <c r="AD233" s="1354"/>
      <c r="AE233" s="1354"/>
      <c r="AF233" s="1354"/>
    </row>
    <row r="234" spans="2:32" ht="13" x14ac:dyDescent="0.15">
      <c r="B234" s="1123" t="s">
        <v>107</v>
      </c>
      <c r="D234" s="62"/>
      <c r="E234" s="63"/>
      <c r="H234" s="10"/>
      <c r="I234" s="10"/>
      <c r="J234" s="1363"/>
      <c r="K234" s="1405"/>
      <c r="L234" s="1405"/>
      <c r="M234" s="1405"/>
      <c r="N234" s="1405"/>
      <c r="Z234" s="1354"/>
      <c r="AA234" s="1354"/>
      <c r="AB234" s="1354"/>
      <c r="AC234" s="1354"/>
      <c r="AD234" s="1354"/>
      <c r="AE234" s="1354"/>
      <c r="AF234" s="1354"/>
    </row>
    <row r="235" spans="2:32" x14ac:dyDescent="0.15">
      <c r="B235" s="1124"/>
      <c r="D235" s="62"/>
      <c r="E235" s="63"/>
      <c r="H235" s="10"/>
      <c r="I235" s="10"/>
      <c r="Z235" s="1354"/>
      <c r="AA235" s="1354"/>
      <c r="AB235" s="1354"/>
      <c r="AC235" s="1354"/>
      <c r="AD235" s="1354"/>
      <c r="AE235" s="1354"/>
      <c r="AF235" s="1354"/>
    </row>
    <row r="236" spans="2:32" x14ac:dyDescent="0.15">
      <c r="B236" s="1124"/>
      <c r="D236" s="62"/>
      <c r="E236" s="63"/>
      <c r="H236" s="10"/>
      <c r="I236" s="10"/>
      <c r="Z236" s="1354"/>
      <c r="AA236" s="1354"/>
      <c r="AB236" s="1354"/>
      <c r="AC236" s="1354"/>
      <c r="AD236" s="1354"/>
      <c r="AE236" s="1354"/>
      <c r="AF236" s="1354"/>
    </row>
    <row r="237" spans="2:32" x14ac:dyDescent="0.15">
      <c r="B237" s="1124"/>
      <c r="D237" s="62"/>
      <c r="E237" s="63"/>
      <c r="H237" s="10"/>
      <c r="I237" s="10"/>
      <c r="Z237" s="1354"/>
      <c r="AA237" s="1354"/>
      <c r="AB237" s="1354"/>
      <c r="AC237" s="1354"/>
      <c r="AD237" s="1354"/>
      <c r="AE237" s="1354"/>
      <c r="AF237" s="1354"/>
    </row>
    <row r="238" spans="2:32" x14ac:dyDescent="0.15">
      <c r="D238" s="62"/>
      <c r="E238" s="63"/>
      <c r="H238" s="10"/>
      <c r="I238" s="10"/>
      <c r="Z238" s="1354"/>
      <c r="AA238" s="1354"/>
      <c r="AB238" s="1354"/>
      <c r="AC238" s="1354"/>
      <c r="AD238" s="1354"/>
      <c r="AE238" s="1354"/>
      <c r="AF238" s="1354"/>
    </row>
    <row r="239" spans="2:32" x14ac:dyDescent="0.15">
      <c r="D239" s="62"/>
      <c r="E239" s="63"/>
      <c r="H239" s="10"/>
      <c r="I239" s="10"/>
      <c r="Z239" s="1354"/>
      <c r="AA239" s="1354"/>
      <c r="AB239" s="1354"/>
      <c r="AC239" s="1354"/>
      <c r="AD239" s="1354"/>
      <c r="AE239" s="1354"/>
      <c r="AF239" s="1354"/>
    </row>
    <row r="240" spans="2:32" x14ac:dyDescent="0.15">
      <c r="E240" s="62"/>
      <c r="Z240" s="1354"/>
      <c r="AA240" s="1354"/>
      <c r="AB240" s="1354"/>
      <c r="AC240" s="1354"/>
      <c r="AD240" s="1354"/>
      <c r="AE240" s="1354"/>
      <c r="AF240" s="1354"/>
    </row>
    <row r="241" spans="3:32" x14ac:dyDescent="0.15">
      <c r="E241" s="62"/>
      <c r="Z241" s="1354"/>
      <c r="AA241" s="1354"/>
      <c r="AB241" s="1354"/>
      <c r="AC241" s="1354"/>
      <c r="AD241" s="1354"/>
      <c r="AE241" s="1354"/>
      <c r="AF241" s="1354"/>
    </row>
    <row r="242" spans="3:32" x14ac:dyDescent="0.15">
      <c r="E242" s="62"/>
      <c r="Z242" s="1354"/>
      <c r="AA242" s="1354"/>
      <c r="AB242" s="1354"/>
      <c r="AC242" s="1354"/>
      <c r="AD242" s="1354"/>
      <c r="AE242" s="1354"/>
      <c r="AF242" s="1354"/>
    </row>
    <row r="243" spans="3:32" x14ac:dyDescent="0.15">
      <c r="E243" s="62"/>
      <c r="Z243" s="1354"/>
      <c r="AA243" s="1354"/>
      <c r="AB243" s="1354"/>
      <c r="AC243" s="1354"/>
      <c r="AD243" s="1354"/>
      <c r="AE243" s="1354"/>
      <c r="AF243" s="1354"/>
    </row>
    <row r="244" spans="3:32" x14ac:dyDescent="0.15">
      <c r="E244" s="62"/>
      <c r="Z244" s="1354"/>
      <c r="AA244" s="1354"/>
      <c r="AB244" s="1354"/>
      <c r="AC244" s="1354"/>
      <c r="AD244" s="1354"/>
      <c r="AE244" s="1354"/>
      <c r="AF244" s="1354"/>
    </row>
    <row r="245" spans="3:32" x14ac:dyDescent="0.15">
      <c r="E245" s="62"/>
      <c r="Z245" s="1354"/>
      <c r="AA245" s="1354"/>
      <c r="AB245" s="1354"/>
      <c r="AC245" s="1354"/>
      <c r="AD245" s="1354"/>
      <c r="AE245" s="1354"/>
      <c r="AF245" s="1354"/>
    </row>
    <row r="246" spans="3:32" x14ac:dyDescent="0.15">
      <c r="E246" s="62"/>
      <c r="Z246" s="1354"/>
      <c r="AA246" s="1354"/>
      <c r="AB246" s="1354"/>
      <c r="AC246" s="1354"/>
      <c r="AD246" s="1354"/>
      <c r="AE246" s="1354"/>
      <c r="AF246" s="1354"/>
    </row>
    <row r="247" spans="3:32" x14ac:dyDescent="0.15">
      <c r="E247" s="62"/>
      <c r="Z247" s="1354"/>
      <c r="AA247" s="1354"/>
      <c r="AB247" s="1354"/>
      <c r="AC247" s="1354"/>
      <c r="AD247" s="1354"/>
      <c r="AE247" s="1354"/>
      <c r="AF247" s="1354"/>
    </row>
    <row r="248" spans="3:32" x14ac:dyDescent="0.15">
      <c r="E248" s="62"/>
      <c r="Z248" s="1354"/>
      <c r="AA248" s="1354"/>
      <c r="AB248" s="1354"/>
      <c r="AC248" s="1354"/>
      <c r="AD248" s="1354"/>
      <c r="AE248" s="1354"/>
      <c r="AF248" s="1354"/>
    </row>
    <row r="249" spans="3:32" x14ac:dyDescent="0.15">
      <c r="E249" s="62"/>
      <c r="Z249" s="1354"/>
      <c r="AA249" s="1354"/>
      <c r="AB249" s="1354"/>
      <c r="AC249" s="1354"/>
      <c r="AD249" s="1354"/>
      <c r="AE249" s="1354"/>
      <c r="AF249" s="1354"/>
    </row>
    <row r="250" spans="3:32" x14ac:dyDescent="0.15">
      <c r="E250" s="62"/>
      <c r="Z250" s="1354"/>
      <c r="AA250" s="1354"/>
      <c r="AB250" s="1354"/>
      <c r="AC250" s="1354"/>
      <c r="AD250" s="1354"/>
      <c r="AE250" s="1354"/>
      <c r="AF250" s="1354"/>
    </row>
    <row r="251" spans="3:32" x14ac:dyDescent="0.15">
      <c r="E251" s="62"/>
      <c r="Z251" s="1354"/>
      <c r="AA251" s="1354"/>
      <c r="AB251" s="1354"/>
      <c r="AC251" s="1354"/>
      <c r="AD251" s="1354"/>
      <c r="AE251" s="1354"/>
      <c r="AF251" s="1354"/>
    </row>
    <row r="252" spans="3:32" x14ac:dyDescent="0.15">
      <c r="E252" s="62"/>
      <c r="Z252" s="1354"/>
      <c r="AA252" s="1354"/>
      <c r="AB252" s="1354"/>
      <c r="AC252" s="1354"/>
      <c r="AD252" s="1354"/>
      <c r="AE252" s="1354"/>
      <c r="AF252" s="1354"/>
    </row>
    <row r="253" spans="3:32" x14ac:dyDescent="0.15">
      <c r="C253" s="1215"/>
      <c r="E253" s="62"/>
      <c r="Z253" s="1354"/>
      <c r="AA253" s="1354"/>
      <c r="AB253" s="1354"/>
      <c r="AC253" s="1354"/>
      <c r="AD253" s="1354"/>
      <c r="AE253" s="1354"/>
      <c r="AF253" s="1354"/>
    </row>
    <row r="254" spans="3:32" x14ac:dyDescent="0.15">
      <c r="C254" s="1215"/>
      <c r="E254" s="62"/>
      <c r="Z254" s="1354"/>
      <c r="AA254" s="1354"/>
      <c r="AB254" s="1354"/>
      <c r="AC254" s="1354"/>
      <c r="AD254" s="1354"/>
      <c r="AE254" s="1354"/>
      <c r="AF254" s="1354"/>
    </row>
    <row r="255" spans="3:32" x14ac:dyDescent="0.15">
      <c r="C255" s="1215"/>
      <c r="E255" s="62"/>
      <c r="Z255" s="1354"/>
      <c r="AA255" s="1354"/>
      <c r="AB255" s="1354"/>
      <c r="AC255" s="1354"/>
      <c r="AD255" s="1354"/>
      <c r="AE255" s="1354"/>
      <c r="AF255" s="1354"/>
    </row>
    <row r="256" spans="3:32" x14ac:dyDescent="0.15">
      <c r="C256" s="1215"/>
      <c r="E256" s="62"/>
      <c r="Z256" s="1354"/>
      <c r="AA256" s="1354"/>
      <c r="AB256" s="1354"/>
      <c r="AC256" s="1354"/>
      <c r="AD256" s="1354"/>
      <c r="AE256" s="1354"/>
      <c r="AF256" s="1354"/>
    </row>
    <row r="257" spans="3:32" x14ac:dyDescent="0.15">
      <c r="C257" s="1215"/>
      <c r="D257" s="1216"/>
      <c r="E257" s="62"/>
      <c r="Z257" s="1354"/>
      <c r="AA257" s="1354"/>
      <c r="AB257" s="1354"/>
      <c r="AC257" s="1354"/>
      <c r="AD257" s="1354"/>
      <c r="AE257" s="1354"/>
      <c r="AF257" s="1354"/>
    </row>
    <row r="258" spans="3:32" x14ac:dyDescent="0.15">
      <c r="C258" s="1215"/>
      <c r="E258" s="62"/>
      <c r="Z258" s="1354"/>
      <c r="AA258" s="1354"/>
      <c r="AB258" s="1354"/>
      <c r="AC258" s="1354"/>
      <c r="AD258" s="1354"/>
      <c r="AE258" s="1354"/>
      <c r="AF258" s="1354"/>
    </row>
    <row r="259" spans="3:32" x14ac:dyDescent="0.15">
      <c r="E259" s="62"/>
      <c r="Z259" s="1354"/>
      <c r="AA259" s="1354"/>
      <c r="AB259" s="1354"/>
      <c r="AC259" s="1354"/>
      <c r="AD259" s="1354"/>
      <c r="AE259" s="1354"/>
      <c r="AF259" s="1354"/>
    </row>
    <row r="260" spans="3:32" x14ac:dyDescent="0.15">
      <c r="E260" s="62"/>
      <c r="Z260" s="1354"/>
      <c r="AA260" s="1354"/>
      <c r="AB260" s="1354"/>
      <c r="AC260" s="1354"/>
      <c r="AD260" s="1354"/>
      <c r="AE260" s="1354"/>
      <c r="AF260" s="1354"/>
    </row>
    <row r="261" spans="3:32" x14ac:dyDescent="0.15">
      <c r="E261" s="62"/>
      <c r="Z261" s="1354"/>
      <c r="AA261" s="1354"/>
      <c r="AB261" s="1354"/>
      <c r="AC261" s="1354"/>
      <c r="AD261" s="1354"/>
      <c r="AE261" s="1354"/>
      <c r="AF261" s="1354"/>
    </row>
    <row r="262" spans="3:32" x14ac:dyDescent="0.15">
      <c r="E262" s="62"/>
      <c r="Z262" s="1354"/>
      <c r="AA262" s="1354"/>
      <c r="AB262" s="1354"/>
      <c r="AC262" s="1354"/>
      <c r="AD262" s="1354"/>
      <c r="AE262" s="1354"/>
      <c r="AF262" s="1354"/>
    </row>
    <row r="263" spans="3:32" x14ac:dyDescent="0.15">
      <c r="E263" s="62"/>
      <c r="Z263" s="1354"/>
      <c r="AA263" s="1354"/>
      <c r="AB263" s="1354"/>
      <c r="AC263" s="1354"/>
      <c r="AD263" s="1354"/>
      <c r="AE263" s="1354"/>
      <c r="AF263" s="1354"/>
    </row>
    <row r="264" spans="3:32" x14ac:dyDescent="0.15">
      <c r="E264" s="62"/>
      <c r="Z264" s="1354"/>
      <c r="AA264" s="1354"/>
      <c r="AB264" s="1354"/>
      <c r="AC264" s="1354"/>
      <c r="AD264" s="1354"/>
      <c r="AE264" s="1354"/>
      <c r="AF264" s="1354"/>
    </row>
    <row r="265" spans="3:32" x14ac:dyDescent="0.15">
      <c r="E265" s="62"/>
      <c r="Z265" s="1354"/>
      <c r="AA265" s="1361"/>
      <c r="AB265" s="1361"/>
      <c r="AC265" s="1361"/>
      <c r="AD265" s="1361"/>
      <c r="AE265" s="1361"/>
      <c r="AF265" s="1361"/>
    </row>
    <row r="266" spans="3:32" x14ac:dyDescent="0.15">
      <c r="E266" s="62"/>
      <c r="Z266" s="1354"/>
      <c r="AA266" s="1354"/>
      <c r="AB266" s="1354"/>
      <c r="AC266" s="1354"/>
      <c r="AD266" s="1354"/>
      <c r="AE266" s="1354"/>
      <c r="AF266" s="1354"/>
    </row>
    <row r="267" spans="3:32" x14ac:dyDescent="0.15">
      <c r="E267" s="62"/>
      <c r="Z267" s="1354"/>
      <c r="AA267" s="1354"/>
      <c r="AB267" s="1354"/>
      <c r="AC267" s="1354"/>
      <c r="AD267" s="1354"/>
      <c r="AE267" s="1354"/>
      <c r="AF267" s="1354"/>
    </row>
    <row r="268" spans="3:32" x14ac:dyDescent="0.15">
      <c r="E268" s="62"/>
      <c r="Z268" s="1354"/>
      <c r="AA268" s="1354"/>
      <c r="AB268" s="1354"/>
      <c r="AC268" s="1354"/>
      <c r="AD268" s="1354"/>
      <c r="AE268" s="1354"/>
      <c r="AF268" s="1354"/>
    </row>
    <row r="269" spans="3:32" x14ac:dyDescent="0.15">
      <c r="E269" s="62"/>
      <c r="Z269" s="1354"/>
      <c r="AA269" s="1354"/>
      <c r="AB269" s="1354"/>
      <c r="AC269" s="1354"/>
      <c r="AD269" s="1354"/>
      <c r="AE269" s="1354"/>
      <c r="AF269" s="1354"/>
    </row>
    <row r="270" spans="3:32" x14ac:dyDescent="0.15">
      <c r="E270" s="62"/>
      <c r="Z270" s="1354"/>
      <c r="AA270" s="1354"/>
      <c r="AB270" s="1354"/>
      <c r="AC270" s="1354"/>
      <c r="AD270" s="1354"/>
      <c r="AE270" s="1354"/>
      <c r="AF270" s="1354"/>
    </row>
    <row r="271" spans="3:32" x14ac:dyDescent="0.15">
      <c r="E271" s="62"/>
      <c r="Z271" s="1354"/>
      <c r="AA271" s="1354"/>
      <c r="AB271" s="1354"/>
      <c r="AC271" s="1354"/>
      <c r="AD271" s="1354"/>
      <c r="AE271" s="1354"/>
      <c r="AF271" s="1354"/>
    </row>
    <row r="272" spans="3:32" x14ac:dyDescent="0.15">
      <c r="E272" s="62"/>
      <c r="Z272" s="1354"/>
      <c r="AA272" s="1354"/>
      <c r="AB272" s="1354"/>
      <c r="AC272" s="1354"/>
      <c r="AD272" s="1354"/>
      <c r="AE272" s="1354"/>
      <c r="AF272" s="1354"/>
    </row>
    <row r="273" spans="5:32" x14ac:dyDescent="0.15">
      <c r="E273" s="62"/>
      <c r="Z273" s="1354"/>
      <c r="AA273" s="1354"/>
      <c r="AB273" s="1354"/>
      <c r="AC273" s="1354"/>
      <c r="AD273" s="1354"/>
      <c r="AE273" s="1354"/>
      <c r="AF273" s="1354"/>
    </row>
    <row r="274" spans="5:32" x14ac:dyDescent="0.15">
      <c r="E274" s="62"/>
      <c r="Z274" s="1354"/>
      <c r="AA274" s="1354"/>
      <c r="AB274" s="1354"/>
      <c r="AC274" s="1354"/>
      <c r="AD274" s="1354"/>
      <c r="AE274" s="1354"/>
      <c r="AF274" s="1354"/>
    </row>
    <row r="275" spans="5:32" x14ac:dyDescent="0.15">
      <c r="E275" s="62"/>
      <c r="Z275" s="1354"/>
      <c r="AA275" s="1354"/>
      <c r="AB275" s="1354"/>
      <c r="AC275" s="1354"/>
      <c r="AD275" s="1354"/>
      <c r="AE275" s="1354"/>
      <c r="AF275" s="1354"/>
    </row>
    <row r="276" spans="5:32" x14ac:dyDescent="0.15">
      <c r="E276" s="62"/>
      <c r="Z276" s="1354"/>
      <c r="AA276" s="1354"/>
      <c r="AB276" s="1354"/>
      <c r="AC276" s="1354"/>
      <c r="AD276" s="1354"/>
      <c r="AE276" s="1354"/>
      <c r="AF276" s="1354"/>
    </row>
    <row r="277" spans="5:32" x14ac:dyDescent="0.15">
      <c r="E277" s="62"/>
      <c r="Z277" s="1354"/>
      <c r="AA277" s="1354"/>
      <c r="AB277" s="1354"/>
      <c r="AC277" s="1354"/>
      <c r="AD277" s="1354"/>
      <c r="AE277" s="1354"/>
      <c r="AF277" s="1354"/>
    </row>
    <row r="278" spans="5:32" x14ac:dyDescent="0.15">
      <c r="E278" s="62"/>
      <c r="Z278" s="1354"/>
      <c r="AA278" s="1354"/>
      <c r="AB278" s="1354"/>
      <c r="AC278" s="1354"/>
      <c r="AD278" s="1354"/>
      <c r="AE278" s="1354"/>
      <c r="AF278" s="1354"/>
    </row>
    <row r="279" spans="5:32" x14ac:dyDescent="0.15">
      <c r="E279" s="62"/>
      <c r="Z279" s="1354"/>
      <c r="AA279" s="1354"/>
      <c r="AB279" s="1354"/>
      <c r="AC279" s="1354"/>
      <c r="AD279" s="1354"/>
      <c r="AE279" s="1354"/>
      <c r="AF279" s="1354"/>
    </row>
    <row r="280" spans="5:32" x14ac:dyDescent="0.15">
      <c r="E280" s="62"/>
      <c r="Z280" s="1354"/>
      <c r="AA280" s="1354"/>
      <c r="AB280" s="1354"/>
      <c r="AC280" s="1354"/>
      <c r="AD280" s="1354"/>
      <c r="AE280" s="1354"/>
      <c r="AF280" s="1354"/>
    </row>
    <row r="281" spans="5:32" x14ac:dyDescent="0.15">
      <c r="E281" s="62"/>
      <c r="Z281" s="1354"/>
      <c r="AA281" s="1354"/>
      <c r="AB281" s="1354"/>
      <c r="AC281" s="1354"/>
      <c r="AD281" s="1354"/>
      <c r="AE281" s="1354"/>
      <c r="AF281" s="1354"/>
    </row>
    <row r="282" spans="5:32" x14ac:dyDescent="0.15">
      <c r="E282" s="62"/>
      <c r="Z282" s="1354"/>
      <c r="AA282" s="1354"/>
      <c r="AB282" s="1354"/>
      <c r="AC282" s="1354"/>
      <c r="AD282" s="1354"/>
      <c r="AE282" s="1354"/>
      <c r="AF282" s="1354"/>
    </row>
    <row r="283" spans="5:32" x14ac:dyDescent="0.15">
      <c r="E283" s="62"/>
      <c r="Z283" s="1354"/>
      <c r="AA283" s="1354"/>
      <c r="AB283" s="1354"/>
      <c r="AC283" s="1354"/>
      <c r="AD283" s="1354"/>
      <c r="AE283" s="1354"/>
      <c r="AF283" s="1354"/>
    </row>
    <row r="284" spans="5:32" x14ac:dyDescent="0.15">
      <c r="E284" s="62"/>
      <c r="Z284" s="1354"/>
      <c r="AA284" s="1354"/>
      <c r="AB284" s="1354"/>
      <c r="AC284" s="1354"/>
      <c r="AD284" s="1354"/>
      <c r="AE284" s="1354"/>
      <c r="AF284" s="1354"/>
    </row>
    <row r="285" spans="5:32" x14ac:dyDescent="0.15">
      <c r="E285" s="62"/>
      <c r="Z285" s="1354"/>
      <c r="AA285" s="1354"/>
      <c r="AB285" s="1354"/>
      <c r="AC285" s="1354"/>
      <c r="AD285" s="1354"/>
      <c r="AE285" s="1354"/>
      <c r="AF285" s="1354"/>
    </row>
    <row r="286" spans="5:32" x14ac:dyDescent="0.15">
      <c r="E286" s="62"/>
      <c r="Z286" s="1354"/>
      <c r="AA286" s="1354"/>
      <c r="AB286" s="1354"/>
      <c r="AC286" s="1354"/>
      <c r="AD286" s="1354"/>
      <c r="AE286" s="1354"/>
      <c r="AF286" s="1354"/>
    </row>
    <row r="287" spans="5:32" x14ac:dyDescent="0.15">
      <c r="E287" s="62"/>
      <c r="Z287" s="1354"/>
      <c r="AA287" s="1354"/>
      <c r="AB287" s="1354"/>
      <c r="AC287" s="1354"/>
      <c r="AD287" s="1354"/>
      <c r="AE287" s="1354"/>
      <c r="AF287" s="1354"/>
    </row>
    <row r="288" spans="5:32" x14ac:dyDescent="0.15">
      <c r="E288" s="62"/>
      <c r="Z288" s="1354"/>
      <c r="AA288" s="1354"/>
      <c r="AB288" s="1354"/>
      <c r="AC288" s="1354"/>
      <c r="AD288" s="1354"/>
      <c r="AE288" s="1354"/>
      <c r="AF288" s="1354"/>
    </row>
    <row r="289" spans="5:32" x14ac:dyDescent="0.15">
      <c r="E289" s="62"/>
      <c r="Z289" s="1354"/>
      <c r="AA289" s="1354"/>
      <c r="AB289" s="1354"/>
      <c r="AC289" s="1354"/>
      <c r="AD289" s="1354"/>
      <c r="AE289" s="1354"/>
      <c r="AF289" s="1354"/>
    </row>
    <row r="290" spans="5:32" x14ac:dyDescent="0.15">
      <c r="E290" s="62"/>
      <c r="Z290" s="1354"/>
      <c r="AA290" s="1354"/>
      <c r="AB290" s="1354"/>
      <c r="AC290" s="1354"/>
      <c r="AD290" s="1354"/>
      <c r="AE290" s="1354"/>
      <c r="AF290" s="1354"/>
    </row>
    <row r="291" spans="5:32" x14ac:dyDescent="0.15">
      <c r="E291" s="62"/>
      <c r="Z291" s="1354"/>
      <c r="AA291" s="1354"/>
      <c r="AB291" s="1354"/>
      <c r="AC291" s="1354"/>
      <c r="AD291" s="1354"/>
      <c r="AE291" s="1354"/>
      <c r="AF291" s="1354"/>
    </row>
    <row r="292" spans="5:32" x14ac:dyDescent="0.15">
      <c r="E292" s="62"/>
      <c r="Z292" s="1354"/>
      <c r="AA292" s="1354"/>
      <c r="AB292" s="1354"/>
      <c r="AC292" s="1354"/>
      <c r="AD292" s="1354"/>
      <c r="AE292" s="1354"/>
      <c r="AF292" s="1354"/>
    </row>
    <row r="293" spans="5:32" x14ac:dyDescent="0.15">
      <c r="E293" s="62"/>
      <c r="Z293" s="1354"/>
      <c r="AA293" s="1354"/>
      <c r="AB293" s="1354"/>
      <c r="AC293" s="1354"/>
      <c r="AD293" s="1354"/>
      <c r="AE293" s="1354"/>
      <c r="AF293" s="1354"/>
    </row>
    <row r="294" spans="5:32" x14ac:dyDescent="0.15">
      <c r="E294" s="62"/>
      <c r="Z294" s="1354"/>
      <c r="AA294" s="1354"/>
      <c r="AB294" s="1354"/>
      <c r="AC294" s="1354"/>
      <c r="AD294" s="1354"/>
      <c r="AE294" s="1354"/>
      <c r="AF294" s="1354"/>
    </row>
    <row r="295" spans="5:32" x14ac:dyDescent="0.15">
      <c r="E295" s="62"/>
      <c r="Z295" s="1354"/>
      <c r="AA295" s="1354"/>
      <c r="AB295" s="1354"/>
      <c r="AC295" s="1354"/>
      <c r="AD295" s="1354"/>
      <c r="AE295" s="1354"/>
      <c r="AF295" s="1354"/>
    </row>
    <row r="296" spans="5:32" x14ac:dyDescent="0.15">
      <c r="E296" s="62"/>
      <c r="Z296" s="1354"/>
      <c r="AA296" s="1354"/>
      <c r="AB296" s="1354"/>
      <c r="AC296" s="1354"/>
      <c r="AD296" s="1354"/>
      <c r="AE296" s="1354"/>
      <c r="AF296" s="1354"/>
    </row>
    <row r="297" spans="5:32" x14ac:dyDescent="0.15">
      <c r="E297" s="62"/>
      <c r="Z297" s="1354"/>
      <c r="AA297" s="1354"/>
      <c r="AB297" s="1354"/>
      <c r="AC297" s="1354"/>
      <c r="AD297" s="1354"/>
      <c r="AE297" s="1354"/>
      <c r="AF297" s="1354"/>
    </row>
    <row r="298" spans="5:32" x14ac:dyDescent="0.15">
      <c r="E298" s="62"/>
      <c r="Z298" s="1354"/>
      <c r="AA298" s="1354"/>
      <c r="AB298" s="1354"/>
      <c r="AC298" s="1354"/>
      <c r="AD298" s="1354"/>
      <c r="AE298" s="1354"/>
      <c r="AF298" s="1354"/>
    </row>
    <row r="299" spans="5:32" x14ac:dyDescent="0.15">
      <c r="E299" s="62"/>
      <c r="Z299" s="1354"/>
      <c r="AA299" s="1354"/>
      <c r="AB299" s="1354"/>
      <c r="AC299" s="1354"/>
      <c r="AD299" s="1354"/>
      <c r="AE299" s="1354"/>
      <c r="AF299" s="1354"/>
    </row>
    <row r="300" spans="5:32" x14ac:dyDescent="0.15">
      <c r="E300" s="62"/>
      <c r="Z300" s="1354"/>
      <c r="AA300" s="1354"/>
      <c r="AB300" s="1354"/>
      <c r="AC300" s="1354"/>
      <c r="AD300" s="1354"/>
      <c r="AE300" s="1354"/>
      <c r="AF300" s="1354"/>
    </row>
    <row r="301" spans="5:32" x14ac:dyDescent="0.15">
      <c r="E301" s="62"/>
      <c r="Z301" s="1354"/>
      <c r="AA301" s="1354"/>
      <c r="AB301" s="1354"/>
      <c r="AC301" s="1354"/>
      <c r="AD301" s="1354"/>
      <c r="AE301" s="1354"/>
      <c r="AF301" s="1354"/>
    </row>
    <row r="302" spans="5:32" x14ac:dyDescent="0.15">
      <c r="E302" s="62"/>
      <c r="Z302" s="1354"/>
      <c r="AA302" s="1354"/>
      <c r="AB302" s="1354"/>
      <c r="AC302" s="1354"/>
      <c r="AD302" s="1354"/>
      <c r="AE302" s="1354"/>
      <c r="AF302" s="1354"/>
    </row>
    <row r="303" spans="5:32" x14ac:dyDescent="0.15">
      <c r="E303" s="62"/>
      <c r="Z303" s="1354"/>
      <c r="AA303" s="1354"/>
      <c r="AB303" s="1354"/>
      <c r="AC303" s="1354"/>
      <c r="AD303" s="1354"/>
      <c r="AE303" s="1354"/>
      <c r="AF303" s="1354"/>
    </row>
    <row r="304" spans="5:32" x14ac:dyDescent="0.15">
      <c r="E304" s="62"/>
      <c r="Z304" s="1354"/>
      <c r="AA304" s="1354"/>
      <c r="AB304" s="1354"/>
      <c r="AC304" s="1354"/>
      <c r="AD304" s="1354"/>
      <c r="AE304" s="1354"/>
      <c r="AF304" s="1354"/>
    </row>
    <row r="305" spans="5:32" x14ac:dyDescent="0.15">
      <c r="E305" s="62"/>
      <c r="Z305" s="1354"/>
      <c r="AA305" s="1354"/>
      <c r="AB305" s="1354"/>
      <c r="AC305" s="1354"/>
      <c r="AD305" s="1354"/>
      <c r="AE305" s="1354"/>
      <c r="AF305" s="1354"/>
    </row>
    <row r="306" spans="5:32" x14ac:dyDescent="0.15">
      <c r="E306" s="62"/>
      <c r="Z306" s="1354"/>
      <c r="AA306" s="1354"/>
      <c r="AB306" s="1354"/>
      <c r="AC306" s="1354"/>
      <c r="AD306" s="1354"/>
      <c r="AE306" s="1354"/>
      <c r="AF306" s="1354"/>
    </row>
    <row r="307" spans="5:32" x14ac:dyDescent="0.15">
      <c r="E307" s="62"/>
      <c r="Z307" s="1354"/>
      <c r="AA307" s="1354"/>
      <c r="AB307" s="1354"/>
      <c r="AC307" s="1354"/>
      <c r="AD307" s="1354"/>
      <c r="AE307" s="1354"/>
      <c r="AF307" s="1354"/>
    </row>
    <row r="308" spans="5:32" x14ac:dyDescent="0.15">
      <c r="E308" s="62"/>
      <c r="Z308" s="1354"/>
      <c r="AA308" s="1354"/>
      <c r="AB308" s="1354"/>
      <c r="AC308" s="1354"/>
      <c r="AD308" s="1354"/>
      <c r="AE308" s="1354"/>
      <c r="AF308" s="1354"/>
    </row>
    <row r="309" spans="5:32" x14ac:dyDescent="0.15">
      <c r="E309" s="62"/>
      <c r="Z309" s="1354"/>
      <c r="AA309" s="1354"/>
      <c r="AB309" s="1354"/>
      <c r="AC309" s="1354"/>
      <c r="AD309" s="1354"/>
      <c r="AE309" s="1354"/>
      <c r="AF309" s="1354"/>
    </row>
    <row r="310" spans="5:32" x14ac:dyDescent="0.15">
      <c r="E310" s="62"/>
      <c r="Z310" s="1354"/>
      <c r="AA310" s="1354"/>
      <c r="AB310" s="1354"/>
      <c r="AC310" s="1354"/>
      <c r="AD310" s="1354"/>
      <c r="AE310" s="1354"/>
      <c r="AF310" s="1354"/>
    </row>
    <row r="311" spans="5:32" x14ac:dyDescent="0.15">
      <c r="E311" s="62"/>
      <c r="Z311" s="1354"/>
      <c r="AA311" s="1361"/>
      <c r="AB311" s="1361"/>
      <c r="AC311" s="1361"/>
      <c r="AD311" s="1361"/>
      <c r="AE311" s="1361"/>
      <c r="AF311" s="1361"/>
    </row>
    <row r="312" spans="5:32" x14ac:dyDescent="0.15">
      <c r="E312" s="62"/>
      <c r="Z312" s="1354"/>
      <c r="AA312" s="1354"/>
      <c r="AB312" s="1354"/>
      <c r="AC312" s="1354"/>
      <c r="AD312" s="1354"/>
      <c r="AE312" s="1354"/>
      <c r="AF312" s="1354"/>
    </row>
    <row r="313" spans="5:32" x14ac:dyDescent="0.15">
      <c r="E313" s="62"/>
      <c r="Z313" s="1354"/>
      <c r="AA313" s="1354"/>
      <c r="AB313" s="1354"/>
      <c r="AC313" s="1354"/>
      <c r="AD313" s="1354"/>
      <c r="AE313" s="1354"/>
      <c r="AF313" s="1354"/>
    </row>
    <row r="314" spans="5:32" x14ac:dyDescent="0.15">
      <c r="E314" s="62"/>
      <c r="Z314" s="1354"/>
      <c r="AA314" s="1354"/>
      <c r="AB314" s="1354"/>
      <c r="AC314" s="1354"/>
      <c r="AD314" s="1354"/>
      <c r="AE314" s="1354"/>
      <c r="AF314" s="1354"/>
    </row>
    <row r="315" spans="5:32" x14ac:dyDescent="0.15">
      <c r="E315" s="62"/>
      <c r="Z315" s="1354"/>
      <c r="AA315" s="1354"/>
      <c r="AB315" s="1354"/>
      <c r="AC315" s="1354"/>
      <c r="AD315" s="1354"/>
      <c r="AE315" s="1354"/>
      <c r="AF315" s="1354"/>
    </row>
    <row r="316" spans="5:32" x14ac:dyDescent="0.15">
      <c r="E316" s="62"/>
      <c r="Z316" s="1354"/>
      <c r="AA316" s="1354"/>
      <c r="AB316" s="1354"/>
      <c r="AC316" s="1354"/>
      <c r="AD316" s="1354"/>
      <c r="AE316" s="1354"/>
      <c r="AF316" s="1354"/>
    </row>
    <row r="317" spans="5:32" x14ac:dyDescent="0.15">
      <c r="E317" s="62"/>
      <c r="Z317" s="1354"/>
      <c r="AA317" s="1354"/>
      <c r="AB317" s="1354"/>
      <c r="AC317" s="1354"/>
      <c r="AD317" s="1354"/>
      <c r="AE317" s="1354"/>
      <c r="AF317" s="1354"/>
    </row>
    <row r="318" spans="5:32" x14ac:dyDescent="0.15">
      <c r="E318" s="62"/>
      <c r="Z318" s="1354"/>
      <c r="AA318" s="1361"/>
      <c r="AB318" s="1361"/>
      <c r="AC318" s="1361"/>
      <c r="AD318" s="1361"/>
      <c r="AE318" s="1361"/>
      <c r="AF318" s="1361"/>
    </row>
    <row r="319" spans="5:32" x14ac:dyDescent="0.15">
      <c r="E319" s="62"/>
      <c r="Z319" s="1354"/>
      <c r="AA319" s="1354"/>
      <c r="AB319" s="1354"/>
      <c r="AC319" s="1354"/>
      <c r="AD319" s="1354"/>
      <c r="AE319" s="1354"/>
      <c r="AF319" s="1354"/>
    </row>
    <row r="320" spans="5:32" x14ac:dyDescent="0.15">
      <c r="E320" s="62"/>
      <c r="Z320" s="1354"/>
      <c r="AA320" s="1354"/>
      <c r="AB320" s="1354"/>
      <c r="AC320" s="1354"/>
      <c r="AD320" s="1354"/>
      <c r="AE320" s="1354"/>
      <c r="AF320" s="1354"/>
    </row>
    <row r="321" spans="5:32" x14ac:dyDescent="0.15">
      <c r="E321" s="62"/>
      <c r="Z321" s="1354"/>
      <c r="AA321" s="1354"/>
      <c r="AB321" s="1354"/>
      <c r="AC321" s="1354"/>
      <c r="AD321" s="1354"/>
      <c r="AE321" s="1354"/>
      <c r="AF321" s="1354"/>
    </row>
    <row r="322" spans="5:32" x14ac:dyDescent="0.15">
      <c r="E322" s="62"/>
      <c r="Z322" s="1354"/>
      <c r="AA322" s="1354"/>
      <c r="AB322" s="1354"/>
      <c r="AC322" s="1354"/>
      <c r="AD322" s="1354"/>
      <c r="AE322" s="1354"/>
      <c r="AF322" s="1354"/>
    </row>
    <row r="323" spans="5:32" x14ac:dyDescent="0.15">
      <c r="E323" s="62"/>
      <c r="Z323" s="1354"/>
      <c r="AA323" s="1354"/>
      <c r="AB323" s="1354"/>
      <c r="AC323" s="1354"/>
      <c r="AD323" s="1354"/>
      <c r="AE323" s="1354"/>
      <c r="AF323" s="1354"/>
    </row>
    <row r="324" spans="5:32" x14ac:dyDescent="0.15">
      <c r="E324" s="62"/>
      <c r="Z324" s="1354"/>
      <c r="AA324" s="1354"/>
      <c r="AB324" s="1354"/>
      <c r="AC324" s="1354"/>
      <c r="AD324" s="1354"/>
      <c r="AE324" s="1354"/>
      <c r="AF324" s="1354"/>
    </row>
    <row r="325" spans="5:32" x14ac:dyDescent="0.15">
      <c r="E325" s="62"/>
      <c r="Z325" s="1354"/>
      <c r="AA325" s="1354"/>
      <c r="AB325" s="1354"/>
      <c r="AC325" s="1354"/>
      <c r="AD325" s="1354"/>
      <c r="AE325" s="1354"/>
      <c r="AF325" s="1354"/>
    </row>
    <row r="326" spans="5:32" x14ac:dyDescent="0.15">
      <c r="E326" s="62"/>
      <c r="Z326" s="1354"/>
      <c r="AA326" s="1354"/>
      <c r="AB326" s="1354"/>
      <c r="AC326" s="1354"/>
      <c r="AD326" s="1354"/>
      <c r="AE326" s="1354"/>
      <c r="AF326" s="1354"/>
    </row>
    <row r="327" spans="5:32" x14ac:dyDescent="0.15">
      <c r="E327" s="62"/>
      <c r="Z327" s="1354"/>
      <c r="AA327" s="1354"/>
      <c r="AB327" s="1354"/>
      <c r="AC327" s="1354"/>
      <c r="AD327" s="1354"/>
      <c r="AE327" s="1354"/>
      <c r="AF327" s="1354"/>
    </row>
    <row r="328" spans="5:32" x14ac:dyDescent="0.15">
      <c r="E328" s="62"/>
      <c r="Z328" s="1354"/>
      <c r="AA328" s="1354"/>
      <c r="AB328" s="1354"/>
      <c r="AC328" s="1354"/>
      <c r="AD328" s="1354"/>
      <c r="AE328" s="1354"/>
      <c r="AF328" s="1354"/>
    </row>
    <row r="329" spans="5:32" x14ac:dyDescent="0.15">
      <c r="E329" s="62"/>
      <c r="Z329" s="1354"/>
      <c r="AA329" s="1354"/>
      <c r="AB329" s="1354"/>
      <c r="AC329" s="1354"/>
      <c r="AD329" s="1354"/>
      <c r="AE329" s="1354"/>
      <c r="AF329" s="1354"/>
    </row>
    <row r="330" spans="5:32" x14ac:dyDescent="0.15">
      <c r="E330" s="62"/>
      <c r="Z330" s="1354"/>
      <c r="AA330" s="1354"/>
      <c r="AB330" s="1354"/>
      <c r="AC330" s="1354"/>
      <c r="AD330" s="1354"/>
      <c r="AE330" s="1354"/>
      <c r="AF330" s="1354"/>
    </row>
    <row r="331" spans="5:32" x14ac:dyDescent="0.15">
      <c r="E331" s="62"/>
      <c r="Z331" s="1354"/>
      <c r="AA331" s="1354"/>
      <c r="AB331" s="1354"/>
      <c r="AC331" s="1354"/>
      <c r="AD331" s="1354"/>
      <c r="AE331" s="1354"/>
      <c r="AF331" s="1354"/>
    </row>
    <row r="332" spans="5:32" x14ac:dyDescent="0.15">
      <c r="E332" s="62"/>
      <c r="Z332" s="1354"/>
      <c r="AA332" s="1354"/>
      <c r="AB332" s="1354"/>
      <c r="AC332" s="1354"/>
      <c r="AD332" s="1354"/>
      <c r="AE332" s="1354"/>
      <c r="AF332" s="1354"/>
    </row>
    <row r="333" spans="5:32" x14ac:dyDescent="0.15">
      <c r="E333" s="62"/>
      <c r="Z333" s="1354"/>
      <c r="AA333" s="1354"/>
      <c r="AB333" s="1354"/>
      <c r="AC333" s="1354"/>
      <c r="AD333" s="1354"/>
      <c r="AE333" s="1354"/>
      <c r="AF333" s="1354"/>
    </row>
    <row r="334" spans="5:32" x14ac:dyDescent="0.15">
      <c r="E334" s="62"/>
      <c r="Z334" s="1354"/>
      <c r="AA334" s="1354"/>
      <c r="AB334" s="1354"/>
      <c r="AC334" s="1354"/>
      <c r="AD334" s="1354"/>
      <c r="AE334" s="1354"/>
      <c r="AF334" s="1354"/>
    </row>
    <row r="335" spans="5:32" x14ac:dyDescent="0.15">
      <c r="E335" s="62"/>
      <c r="Z335" s="1354"/>
      <c r="AA335" s="1354"/>
      <c r="AB335" s="1354"/>
      <c r="AC335" s="1354"/>
      <c r="AD335" s="1354"/>
      <c r="AE335" s="1354"/>
      <c r="AF335" s="1354"/>
    </row>
    <row r="336" spans="5:32" x14ac:dyDescent="0.15">
      <c r="E336" s="62"/>
      <c r="Z336" s="1354"/>
      <c r="AA336" s="1354"/>
      <c r="AB336" s="1354"/>
      <c r="AC336" s="1354"/>
      <c r="AD336" s="1354"/>
      <c r="AE336" s="1354"/>
      <c r="AF336" s="1354"/>
    </row>
    <row r="337" spans="5:32" x14ac:dyDescent="0.15">
      <c r="E337" s="62"/>
      <c r="Z337" s="1354"/>
      <c r="AA337" s="1354"/>
      <c r="AB337" s="1354"/>
      <c r="AC337" s="1354"/>
      <c r="AD337" s="1354"/>
      <c r="AE337" s="1354"/>
      <c r="AF337" s="1354"/>
    </row>
    <row r="338" spans="5:32" x14ac:dyDescent="0.15">
      <c r="E338" s="62"/>
      <c r="Z338" s="1354"/>
      <c r="AA338" s="1354"/>
      <c r="AB338" s="1354"/>
      <c r="AC338" s="1354"/>
      <c r="AD338" s="1354"/>
      <c r="AE338" s="1354"/>
      <c r="AF338" s="1354"/>
    </row>
    <row r="339" spans="5:32" x14ac:dyDescent="0.15">
      <c r="E339" s="62"/>
      <c r="Z339" s="1354"/>
      <c r="AA339" s="1354"/>
      <c r="AB339" s="1354"/>
      <c r="AC339" s="1354"/>
      <c r="AD339" s="1354"/>
      <c r="AE339" s="1354"/>
      <c r="AF339" s="1354"/>
    </row>
    <row r="340" spans="5:32" x14ac:dyDescent="0.15">
      <c r="E340" s="62"/>
      <c r="Z340" s="1354"/>
      <c r="AA340" s="1354"/>
      <c r="AB340" s="1354"/>
      <c r="AC340" s="1354"/>
      <c r="AD340" s="1354"/>
      <c r="AE340" s="1354"/>
      <c r="AF340" s="1354"/>
    </row>
    <row r="341" spans="5:32" x14ac:dyDescent="0.15">
      <c r="E341" s="62"/>
      <c r="Z341" s="1354"/>
      <c r="AA341" s="1354"/>
      <c r="AB341" s="1354"/>
      <c r="AC341" s="1354"/>
      <c r="AD341" s="1354"/>
      <c r="AE341" s="1354"/>
      <c r="AF341" s="1354"/>
    </row>
    <row r="342" spans="5:32" x14ac:dyDescent="0.15">
      <c r="E342" s="62"/>
      <c r="Z342" s="1354"/>
      <c r="AA342" s="1354"/>
      <c r="AB342" s="1354"/>
      <c r="AC342" s="1354"/>
      <c r="AD342" s="1354"/>
      <c r="AE342" s="1354"/>
      <c r="AF342" s="1354"/>
    </row>
    <row r="343" spans="5:32" x14ac:dyDescent="0.15">
      <c r="E343" s="62"/>
      <c r="Z343" s="1354"/>
      <c r="AA343" s="1354"/>
      <c r="AB343" s="1354"/>
      <c r="AC343" s="1354"/>
      <c r="AD343" s="1354"/>
      <c r="AE343" s="1354"/>
      <c r="AF343" s="1354"/>
    </row>
    <row r="344" spans="5:32" x14ac:dyDescent="0.15">
      <c r="E344" s="62"/>
      <c r="Z344" s="1354"/>
      <c r="AA344" s="1354"/>
      <c r="AB344" s="1354"/>
      <c r="AC344" s="1354"/>
      <c r="AD344" s="1354"/>
      <c r="AE344" s="1354"/>
      <c r="AF344" s="1354"/>
    </row>
    <row r="345" spans="5:32" x14ac:dyDescent="0.15">
      <c r="E345" s="62"/>
      <c r="Z345" s="1354"/>
      <c r="AA345" s="1354"/>
      <c r="AB345" s="1354"/>
      <c r="AC345" s="1354"/>
      <c r="AD345" s="1354"/>
      <c r="AE345" s="1354"/>
      <c r="AF345" s="1354"/>
    </row>
    <row r="346" spans="5:32" x14ac:dyDescent="0.15">
      <c r="E346" s="62"/>
      <c r="Z346" s="1354"/>
      <c r="AA346" s="1354"/>
      <c r="AB346" s="1354"/>
      <c r="AC346" s="1354"/>
      <c r="AD346" s="1354"/>
      <c r="AE346" s="1354"/>
      <c r="AF346" s="1354"/>
    </row>
    <row r="347" spans="5:32" x14ac:dyDescent="0.15">
      <c r="E347" s="62"/>
      <c r="Z347" s="1354"/>
      <c r="AA347" s="1354"/>
      <c r="AB347" s="1354"/>
      <c r="AC347" s="1354"/>
      <c r="AD347" s="1354"/>
      <c r="AE347" s="1354"/>
      <c r="AF347" s="1354"/>
    </row>
    <row r="348" spans="5:32" x14ac:dyDescent="0.15">
      <c r="E348" s="62"/>
      <c r="Z348" s="1354"/>
      <c r="AA348" s="1354"/>
      <c r="AB348" s="1354"/>
      <c r="AC348" s="1354"/>
      <c r="AD348" s="1354"/>
      <c r="AE348" s="1354"/>
      <c r="AF348" s="1354"/>
    </row>
    <row r="349" spans="5:32" x14ac:dyDescent="0.15">
      <c r="E349" s="62"/>
      <c r="Z349" s="1354"/>
      <c r="AA349" s="1354"/>
      <c r="AB349" s="1354"/>
      <c r="AC349" s="1354"/>
      <c r="AD349" s="1354"/>
      <c r="AE349" s="1354"/>
      <c r="AF349" s="1354"/>
    </row>
    <row r="350" spans="5:32" x14ac:dyDescent="0.15">
      <c r="E350" s="62"/>
      <c r="Z350" s="1354"/>
      <c r="AA350" s="1354"/>
      <c r="AB350" s="1354"/>
      <c r="AC350" s="1354"/>
      <c r="AD350" s="1354"/>
      <c r="AE350" s="1354"/>
      <c r="AF350" s="1354"/>
    </row>
    <row r="351" spans="5:32" x14ac:dyDescent="0.15">
      <c r="E351" s="62"/>
      <c r="Z351" s="1354"/>
      <c r="AA351" s="1354"/>
      <c r="AB351" s="1354"/>
      <c r="AC351" s="1354"/>
      <c r="AD351" s="1354"/>
      <c r="AE351" s="1354"/>
      <c r="AF351" s="1354"/>
    </row>
    <row r="352" spans="5:32" x14ac:dyDescent="0.15">
      <c r="E352" s="62"/>
      <c r="Z352" s="1354"/>
      <c r="AA352" s="1354"/>
      <c r="AB352" s="1354"/>
      <c r="AC352" s="1354"/>
      <c r="AD352" s="1354"/>
      <c r="AE352" s="1354"/>
      <c r="AF352" s="1354"/>
    </row>
    <row r="353" spans="5:32" x14ac:dyDescent="0.15">
      <c r="E353" s="62"/>
      <c r="Z353" s="1354"/>
      <c r="AA353" s="1354"/>
      <c r="AB353" s="1354"/>
      <c r="AC353" s="1354"/>
      <c r="AD353" s="1354"/>
      <c r="AE353" s="1354"/>
      <c r="AF353" s="1354"/>
    </row>
    <row r="354" spans="5:32" x14ac:dyDescent="0.15">
      <c r="E354" s="62"/>
      <c r="Z354" s="1354"/>
      <c r="AA354" s="1354"/>
      <c r="AB354" s="1354"/>
      <c r="AC354" s="1354"/>
      <c r="AD354" s="1354"/>
      <c r="AE354" s="1354"/>
      <c r="AF354" s="1354"/>
    </row>
    <row r="355" spans="5:32" x14ac:dyDescent="0.15">
      <c r="E355" s="62"/>
      <c r="Z355" s="1354"/>
      <c r="AA355" s="1354"/>
      <c r="AB355" s="1354"/>
      <c r="AC355" s="1354"/>
      <c r="AD355" s="1354"/>
      <c r="AE355" s="1354"/>
      <c r="AF355" s="1354"/>
    </row>
    <row r="356" spans="5:32" x14ac:dyDescent="0.15">
      <c r="E356" s="62"/>
      <c r="Z356" s="1354"/>
      <c r="AA356" s="1354"/>
      <c r="AB356" s="1354"/>
      <c r="AC356" s="1354"/>
      <c r="AD356" s="1354"/>
      <c r="AE356" s="1354"/>
      <c r="AF356" s="1354"/>
    </row>
    <row r="357" spans="5:32" x14ac:dyDescent="0.15">
      <c r="E357" s="62"/>
      <c r="Z357" s="1354"/>
      <c r="AA357" s="1361"/>
      <c r="AB357" s="1361"/>
      <c r="AC357" s="1361"/>
      <c r="AD357" s="1361"/>
      <c r="AE357" s="1361"/>
      <c r="AF357" s="1361"/>
    </row>
    <row r="358" spans="5:32" x14ac:dyDescent="0.15">
      <c r="E358" s="62"/>
      <c r="Z358" s="1354"/>
      <c r="AA358" s="1354"/>
      <c r="AB358" s="1354"/>
      <c r="AC358" s="1354"/>
      <c r="AD358" s="1354"/>
      <c r="AE358" s="1354"/>
      <c r="AF358" s="1354"/>
    </row>
    <row r="359" spans="5:32" x14ac:dyDescent="0.15">
      <c r="E359" s="62"/>
      <c r="Z359" s="1354"/>
      <c r="AA359" s="1354"/>
      <c r="AB359" s="1354"/>
      <c r="AC359" s="1354"/>
      <c r="AD359" s="1354"/>
      <c r="AE359" s="1354"/>
      <c r="AF359" s="1354"/>
    </row>
    <row r="360" spans="5:32" x14ac:dyDescent="0.15">
      <c r="E360" s="62"/>
      <c r="Z360" s="1354"/>
      <c r="AA360" s="1354"/>
      <c r="AB360" s="1354"/>
      <c r="AC360" s="1354"/>
      <c r="AD360" s="1354"/>
      <c r="AE360" s="1354"/>
      <c r="AF360" s="1354"/>
    </row>
    <row r="361" spans="5:32" x14ac:dyDescent="0.15">
      <c r="E361" s="62"/>
      <c r="Z361" s="1354"/>
      <c r="AA361" s="1361"/>
      <c r="AB361" s="1361"/>
      <c r="AC361" s="1361"/>
      <c r="AD361" s="1361"/>
      <c r="AE361" s="1361"/>
      <c r="AF361" s="1361"/>
    </row>
    <row r="362" spans="5:32" x14ac:dyDescent="0.15">
      <c r="E362" s="62"/>
      <c r="Z362" s="1354"/>
      <c r="AA362" s="1354"/>
      <c r="AB362" s="1354"/>
      <c r="AC362" s="1354"/>
      <c r="AD362" s="1354"/>
      <c r="AE362" s="1354"/>
      <c r="AF362" s="1354"/>
    </row>
    <row r="363" spans="5:32" x14ac:dyDescent="0.15">
      <c r="E363" s="62"/>
      <c r="Z363" s="1354"/>
      <c r="AA363" s="1354"/>
      <c r="AB363" s="1354"/>
      <c r="AC363" s="1354"/>
      <c r="AD363" s="1354"/>
      <c r="AE363" s="1354"/>
      <c r="AF363" s="1354"/>
    </row>
    <row r="364" spans="5:32" x14ac:dyDescent="0.15">
      <c r="E364" s="62"/>
      <c r="Z364" s="1354"/>
      <c r="AA364" s="1361"/>
      <c r="AB364" s="1361"/>
      <c r="AC364" s="1361"/>
      <c r="AD364" s="1361"/>
      <c r="AE364" s="1361"/>
      <c r="AF364" s="1361"/>
    </row>
    <row r="365" spans="5:32" x14ac:dyDescent="0.15">
      <c r="E365" s="62"/>
      <c r="Z365" s="1354"/>
      <c r="AA365" s="1354"/>
      <c r="AB365" s="1354"/>
      <c r="AC365" s="1354"/>
      <c r="AD365" s="1354"/>
      <c r="AE365" s="1354"/>
      <c r="AF365" s="1354"/>
    </row>
    <row r="366" spans="5:32" x14ac:dyDescent="0.15">
      <c r="E366" s="62"/>
      <c r="Z366" s="1354"/>
      <c r="AA366" s="1354"/>
      <c r="AB366" s="1354"/>
      <c r="AC366" s="1354"/>
      <c r="AD366" s="1354"/>
      <c r="AE366" s="1354"/>
      <c r="AF366" s="1354"/>
    </row>
    <row r="367" spans="5:32" x14ac:dyDescent="0.15">
      <c r="E367" s="62"/>
      <c r="Z367" s="1354"/>
      <c r="AA367" s="1354"/>
      <c r="AB367" s="1354"/>
      <c r="AC367" s="1354"/>
      <c r="AD367" s="1354"/>
      <c r="AE367" s="1354"/>
      <c r="AF367" s="1354"/>
    </row>
    <row r="368" spans="5:32" x14ac:dyDescent="0.15">
      <c r="E368" s="62"/>
      <c r="Z368" s="1354"/>
      <c r="AA368" s="1354"/>
      <c r="AB368" s="1354"/>
      <c r="AC368" s="1354"/>
      <c r="AD368" s="1354"/>
      <c r="AE368" s="1354"/>
      <c r="AF368" s="1354"/>
    </row>
    <row r="369" spans="5:32" x14ac:dyDescent="0.15">
      <c r="E369" s="62"/>
      <c r="Z369" s="1354"/>
      <c r="AA369" s="1354"/>
      <c r="AB369" s="1354"/>
      <c r="AC369" s="1354"/>
      <c r="AD369" s="1354"/>
      <c r="AE369" s="1354"/>
      <c r="AF369" s="1354"/>
    </row>
    <row r="370" spans="5:32" x14ac:dyDescent="0.15">
      <c r="E370" s="62"/>
      <c r="Z370" s="1354"/>
      <c r="AA370" s="1354"/>
      <c r="AB370" s="1354"/>
      <c r="AC370" s="1354"/>
      <c r="AD370" s="1354"/>
      <c r="AE370" s="1354"/>
      <c r="AF370" s="1354"/>
    </row>
    <row r="371" spans="5:32" x14ac:dyDescent="0.15">
      <c r="E371" s="62"/>
      <c r="Z371" s="1354"/>
      <c r="AA371" s="1354"/>
      <c r="AB371" s="1354"/>
      <c r="AC371" s="1354"/>
      <c r="AD371" s="1354"/>
      <c r="AE371" s="1354"/>
      <c r="AF371" s="1354"/>
    </row>
    <row r="372" spans="5:32" x14ac:dyDescent="0.15">
      <c r="E372" s="62"/>
      <c r="Z372" s="1354"/>
      <c r="AA372" s="1354"/>
      <c r="AB372" s="1354"/>
      <c r="AC372" s="1354"/>
      <c r="AD372" s="1354"/>
      <c r="AE372" s="1354"/>
      <c r="AF372" s="1354"/>
    </row>
    <row r="373" spans="5:32" x14ac:dyDescent="0.15">
      <c r="E373" s="62"/>
      <c r="Z373" s="1354"/>
      <c r="AA373" s="1354"/>
      <c r="AB373" s="1354"/>
      <c r="AC373" s="1354"/>
      <c r="AD373" s="1354"/>
      <c r="AE373" s="1354"/>
      <c r="AF373" s="1354"/>
    </row>
    <row r="374" spans="5:32" x14ac:dyDescent="0.15">
      <c r="E374" s="62"/>
      <c r="Z374" s="1354"/>
      <c r="AA374" s="1354"/>
      <c r="AB374" s="1354"/>
      <c r="AC374" s="1354"/>
      <c r="AD374" s="1354"/>
      <c r="AE374" s="1354"/>
      <c r="AF374" s="1354"/>
    </row>
    <row r="375" spans="5:32" x14ac:dyDescent="0.15">
      <c r="E375" s="62"/>
      <c r="Z375" s="1354"/>
      <c r="AA375" s="1354"/>
      <c r="AB375" s="1354"/>
      <c r="AC375" s="1354"/>
      <c r="AD375" s="1354"/>
      <c r="AE375" s="1354"/>
      <c r="AF375" s="1354"/>
    </row>
    <row r="376" spans="5:32" x14ac:dyDescent="0.15">
      <c r="E376" s="62"/>
      <c r="Z376" s="1354"/>
      <c r="AA376" s="1354"/>
      <c r="AB376" s="1354"/>
      <c r="AC376" s="1354"/>
      <c r="AD376" s="1354"/>
      <c r="AE376" s="1354"/>
      <c r="AF376" s="1354"/>
    </row>
    <row r="377" spans="5:32" x14ac:dyDescent="0.15">
      <c r="E377" s="62"/>
      <c r="Z377" s="1354"/>
      <c r="AA377" s="1354"/>
      <c r="AB377" s="1354"/>
      <c r="AC377" s="1354"/>
      <c r="AD377" s="1354"/>
      <c r="AE377" s="1354"/>
      <c r="AF377" s="1354"/>
    </row>
    <row r="378" spans="5:32" x14ac:dyDescent="0.15">
      <c r="E378" s="62"/>
      <c r="Z378" s="1354"/>
      <c r="AA378" s="1354"/>
      <c r="AB378" s="1354"/>
      <c r="AC378" s="1354"/>
      <c r="AD378" s="1354"/>
      <c r="AE378" s="1354"/>
      <c r="AF378" s="1354"/>
    </row>
    <row r="379" spans="5:32" x14ac:dyDescent="0.15">
      <c r="E379" s="62"/>
      <c r="Z379" s="1354"/>
      <c r="AA379" s="1354"/>
      <c r="AB379" s="1354"/>
      <c r="AC379" s="1354"/>
      <c r="AD379" s="1354"/>
      <c r="AE379" s="1354"/>
      <c r="AF379" s="1354"/>
    </row>
    <row r="380" spans="5:32" x14ac:dyDescent="0.15">
      <c r="E380" s="62"/>
      <c r="Z380" s="1354"/>
      <c r="AA380" s="1354"/>
      <c r="AB380" s="1354"/>
      <c r="AC380" s="1354"/>
      <c r="AD380" s="1354"/>
      <c r="AE380" s="1354"/>
      <c r="AF380" s="1354"/>
    </row>
    <row r="381" spans="5:32" x14ac:dyDescent="0.15">
      <c r="E381" s="62"/>
      <c r="Z381" s="1354"/>
      <c r="AA381" s="1354"/>
      <c r="AB381" s="1354"/>
      <c r="AC381" s="1354"/>
      <c r="AD381" s="1354"/>
      <c r="AE381" s="1354"/>
      <c r="AF381" s="1354"/>
    </row>
    <row r="382" spans="5:32" x14ac:dyDescent="0.15">
      <c r="E382" s="62"/>
      <c r="Z382" s="1354"/>
      <c r="AA382" s="1354"/>
      <c r="AB382" s="1354"/>
      <c r="AC382" s="1354"/>
      <c r="AD382" s="1354"/>
      <c r="AE382" s="1354"/>
      <c r="AF382" s="1354"/>
    </row>
    <row r="383" spans="5:32" x14ac:dyDescent="0.15">
      <c r="E383" s="62"/>
      <c r="Z383" s="1354"/>
      <c r="AA383" s="1354"/>
      <c r="AB383" s="1354"/>
      <c r="AC383" s="1354"/>
      <c r="AD383" s="1354"/>
      <c r="AE383" s="1354"/>
      <c r="AF383" s="1354"/>
    </row>
    <row r="384" spans="5:32" x14ac:dyDescent="0.15">
      <c r="E384" s="62"/>
      <c r="Z384" s="1354"/>
      <c r="AA384" s="1354"/>
      <c r="AB384" s="1354"/>
      <c r="AC384" s="1354"/>
      <c r="AD384" s="1354"/>
      <c r="AE384" s="1354"/>
      <c r="AF384" s="1354"/>
    </row>
    <row r="385" spans="5:32" x14ac:dyDescent="0.15">
      <c r="E385" s="62"/>
      <c r="Z385" s="1354"/>
      <c r="AA385" s="1354"/>
      <c r="AB385" s="1354"/>
      <c r="AC385" s="1354"/>
      <c r="AD385" s="1354"/>
      <c r="AE385" s="1354"/>
      <c r="AF385" s="1354"/>
    </row>
    <row r="386" spans="5:32" x14ac:dyDescent="0.15">
      <c r="E386" s="62"/>
      <c r="Z386" s="1354"/>
      <c r="AA386" s="1354"/>
      <c r="AB386" s="1354"/>
      <c r="AC386" s="1354"/>
      <c r="AD386" s="1354"/>
      <c r="AE386" s="1354"/>
      <c r="AF386" s="1354"/>
    </row>
    <row r="387" spans="5:32" x14ac:dyDescent="0.15">
      <c r="E387" s="62"/>
      <c r="Z387" s="1354"/>
      <c r="AA387" s="1354"/>
      <c r="AB387" s="1354"/>
      <c r="AC387" s="1354"/>
      <c r="AD387" s="1354"/>
      <c r="AE387" s="1354"/>
      <c r="AF387" s="1354"/>
    </row>
    <row r="388" spans="5:32" x14ac:dyDescent="0.15">
      <c r="E388" s="62"/>
      <c r="Z388" s="1354"/>
      <c r="AA388" s="1354"/>
      <c r="AB388" s="1354"/>
      <c r="AC388" s="1354"/>
      <c r="AD388" s="1354"/>
      <c r="AE388" s="1354"/>
      <c r="AF388" s="1354"/>
    </row>
    <row r="389" spans="5:32" x14ac:dyDescent="0.15">
      <c r="E389" s="62"/>
      <c r="Z389" s="1354"/>
      <c r="AA389" s="1354"/>
      <c r="AB389" s="1354"/>
      <c r="AC389" s="1354"/>
      <c r="AD389" s="1354"/>
      <c r="AE389" s="1354"/>
      <c r="AF389" s="1354"/>
    </row>
    <row r="390" spans="5:32" x14ac:dyDescent="0.15">
      <c r="E390" s="62"/>
      <c r="Z390" s="1354"/>
      <c r="AA390" s="1354"/>
      <c r="AB390" s="1354"/>
      <c r="AC390" s="1354"/>
      <c r="AD390" s="1354"/>
      <c r="AE390" s="1354"/>
      <c r="AF390" s="1354"/>
    </row>
    <row r="391" spans="5:32" x14ac:dyDescent="0.15">
      <c r="E391" s="62"/>
      <c r="Z391" s="1354"/>
      <c r="AA391" s="1354"/>
      <c r="AB391" s="1354"/>
      <c r="AC391" s="1354"/>
      <c r="AD391" s="1354"/>
      <c r="AE391" s="1354"/>
      <c r="AF391" s="1354"/>
    </row>
    <row r="392" spans="5:32" x14ac:dyDescent="0.15">
      <c r="E392" s="62"/>
      <c r="Z392" s="1354"/>
      <c r="AA392" s="1354"/>
      <c r="AB392" s="1354"/>
      <c r="AC392" s="1354"/>
      <c r="AD392" s="1354"/>
      <c r="AE392" s="1354"/>
      <c r="AF392" s="1354"/>
    </row>
    <row r="393" spans="5:32" x14ac:dyDescent="0.15">
      <c r="E393" s="62"/>
      <c r="Z393" s="1354"/>
      <c r="AA393" s="1354"/>
      <c r="AB393" s="1354"/>
      <c r="AC393" s="1354"/>
      <c r="AD393" s="1354"/>
      <c r="AE393" s="1354"/>
      <c r="AF393" s="1354"/>
    </row>
    <row r="394" spans="5:32" x14ac:dyDescent="0.15">
      <c r="E394" s="62"/>
      <c r="Z394" s="1354"/>
      <c r="AA394" s="1354"/>
      <c r="AB394" s="1354"/>
      <c r="AC394" s="1354"/>
      <c r="AD394" s="1354"/>
      <c r="AE394" s="1354"/>
      <c r="AF394" s="1354"/>
    </row>
    <row r="395" spans="5:32" x14ac:dyDescent="0.15">
      <c r="E395" s="62"/>
      <c r="Z395" s="1354"/>
      <c r="AA395" s="1354"/>
      <c r="AB395" s="1354"/>
      <c r="AC395" s="1354"/>
      <c r="AD395" s="1354"/>
      <c r="AE395" s="1354"/>
      <c r="AF395" s="1354"/>
    </row>
    <row r="396" spans="5:32" x14ac:dyDescent="0.15">
      <c r="E396" s="62"/>
      <c r="Z396" s="1354"/>
      <c r="AA396" s="1354"/>
      <c r="AB396" s="1354"/>
      <c r="AC396" s="1354"/>
      <c r="AD396" s="1354"/>
      <c r="AE396" s="1354"/>
      <c r="AF396" s="1354"/>
    </row>
    <row r="397" spans="5:32" x14ac:dyDescent="0.15">
      <c r="E397" s="62"/>
      <c r="Z397" s="1354"/>
      <c r="AA397" s="1354"/>
      <c r="AB397" s="1354"/>
      <c r="AC397" s="1354"/>
      <c r="AD397" s="1354"/>
      <c r="AE397" s="1354"/>
      <c r="AF397" s="1354"/>
    </row>
    <row r="398" spans="5:32" x14ac:dyDescent="0.15">
      <c r="E398" s="62"/>
      <c r="Z398" s="1354"/>
      <c r="AA398" s="1354"/>
      <c r="AB398" s="1354"/>
      <c r="AC398" s="1354"/>
      <c r="AD398" s="1354"/>
      <c r="AE398" s="1354"/>
      <c r="AF398" s="1354"/>
    </row>
    <row r="399" spans="5:32" x14ac:dyDescent="0.15">
      <c r="E399" s="62"/>
      <c r="Z399" s="1354"/>
      <c r="AA399" s="1354"/>
      <c r="AB399" s="1354"/>
      <c r="AC399" s="1354"/>
      <c r="AD399" s="1354"/>
      <c r="AE399" s="1354"/>
      <c r="AF399" s="1354"/>
    </row>
    <row r="400" spans="5:32" x14ac:dyDescent="0.15">
      <c r="E400" s="62"/>
      <c r="Z400" s="1354"/>
      <c r="AA400" s="1354"/>
      <c r="AB400" s="1354"/>
      <c r="AC400" s="1354"/>
      <c r="AD400" s="1354"/>
      <c r="AE400" s="1354"/>
      <c r="AF400" s="1354"/>
    </row>
    <row r="401" spans="5:32" x14ac:dyDescent="0.15">
      <c r="E401" s="62"/>
      <c r="Z401" s="1354"/>
      <c r="AA401" s="1354"/>
      <c r="AB401" s="1354"/>
      <c r="AC401" s="1354"/>
      <c r="AD401" s="1354"/>
      <c r="AE401" s="1354"/>
      <c r="AF401" s="1354"/>
    </row>
    <row r="402" spans="5:32" x14ac:dyDescent="0.15">
      <c r="E402" s="62"/>
      <c r="Z402" s="1354"/>
      <c r="AA402" s="1354"/>
      <c r="AB402" s="1354"/>
      <c r="AC402" s="1354"/>
      <c r="AD402" s="1354"/>
      <c r="AE402" s="1354"/>
      <c r="AF402" s="1354"/>
    </row>
    <row r="403" spans="5:32" x14ac:dyDescent="0.15">
      <c r="E403" s="62"/>
      <c r="Z403" s="1354"/>
      <c r="AA403" s="1354"/>
      <c r="AB403" s="1354"/>
      <c r="AC403" s="1354"/>
      <c r="AD403" s="1354"/>
      <c r="AE403" s="1354"/>
      <c r="AF403" s="1354"/>
    </row>
    <row r="404" spans="5:32" x14ac:dyDescent="0.15">
      <c r="E404" s="62"/>
      <c r="Z404" s="1354"/>
      <c r="AA404" s="1354"/>
      <c r="AB404" s="1354"/>
      <c r="AC404" s="1354"/>
      <c r="AD404" s="1354"/>
      <c r="AE404" s="1354"/>
      <c r="AF404" s="1354"/>
    </row>
    <row r="405" spans="5:32" x14ac:dyDescent="0.15">
      <c r="E405" s="62"/>
      <c r="Z405" s="1354"/>
      <c r="AA405" s="1354"/>
      <c r="AB405" s="1354"/>
      <c r="AC405" s="1354"/>
      <c r="AD405" s="1354"/>
      <c r="AE405" s="1354"/>
      <c r="AF405" s="1354"/>
    </row>
    <row r="406" spans="5:32" x14ac:dyDescent="0.15">
      <c r="E406" s="62"/>
      <c r="Z406" s="1354"/>
      <c r="AA406" s="1354"/>
      <c r="AB406" s="1354"/>
      <c r="AC406" s="1354"/>
      <c r="AD406" s="1354"/>
      <c r="AE406" s="1354"/>
      <c r="AF406" s="1354"/>
    </row>
    <row r="407" spans="5:32" x14ac:dyDescent="0.15">
      <c r="E407" s="62"/>
      <c r="Z407" s="1354"/>
      <c r="AA407" s="1354"/>
      <c r="AB407" s="1354"/>
      <c r="AC407" s="1354"/>
      <c r="AD407" s="1354"/>
      <c r="AE407" s="1354"/>
      <c r="AF407" s="1354"/>
    </row>
    <row r="408" spans="5:32" x14ac:dyDescent="0.15">
      <c r="E408" s="62"/>
      <c r="Z408" s="1354"/>
      <c r="AA408" s="1354"/>
      <c r="AB408" s="1354"/>
      <c r="AC408" s="1354"/>
      <c r="AD408" s="1354"/>
      <c r="AE408" s="1354"/>
      <c r="AF408" s="1354"/>
    </row>
    <row r="409" spans="5:32" x14ac:dyDescent="0.15">
      <c r="E409" s="62"/>
      <c r="Z409" s="1354"/>
      <c r="AA409" s="1361"/>
      <c r="AB409" s="1361"/>
      <c r="AC409" s="1361"/>
      <c r="AD409" s="1361"/>
      <c r="AE409" s="1361"/>
      <c r="AF409" s="1361"/>
    </row>
    <row r="410" spans="5:32" x14ac:dyDescent="0.15">
      <c r="E410" s="62"/>
      <c r="Z410" s="1354"/>
      <c r="AA410" s="1354"/>
      <c r="AB410" s="1354"/>
      <c r="AC410" s="1354"/>
      <c r="AD410" s="1354"/>
      <c r="AE410" s="1354"/>
      <c r="AF410" s="1354"/>
    </row>
    <row r="411" spans="5:32" x14ac:dyDescent="0.15">
      <c r="E411" s="62"/>
      <c r="Z411" s="1354"/>
      <c r="AA411" s="1354"/>
      <c r="AB411" s="1354"/>
      <c r="AC411" s="1354"/>
      <c r="AD411" s="1354"/>
      <c r="AE411" s="1354"/>
      <c r="AF411" s="1354"/>
    </row>
    <row r="412" spans="5:32" x14ac:dyDescent="0.15">
      <c r="E412" s="62"/>
      <c r="Z412" s="1354"/>
      <c r="AA412" s="1354"/>
      <c r="AB412" s="1354"/>
      <c r="AC412" s="1354"/>
      <c r="AD412" s="1354"/>
      <c r="AE412" s="1354"/>
      <c r="AF412" s="1354"/>
    </row>
    <row r="413" spans="5:32" x14ac:dyDescent="0.15">
      <c r="E413" s="62"/>
      <c r="Z413" s="1354"/>
      <c r="AA413" s="1354"/>
      <c r="AB413" s="1354"/>
      <c r="AC413" s="1354"/>
      <c r="AD413" s="1354"/>
      <c r="AE413" s="1354"/>
      <c r="AF413" s="1354"/>
    </row>
    <row r="414" spans="5:32" x14ac:dyDescent="0.15">
      <c r="E414" s="62"/>
      <c r="Z414" s="1354"/>
      <c r="AA414" s="1354"/>
      <c r="AB414" s="1354"/>
      <c r="AC414" s="1354"/>
      <c r="AD414" s="1354"/>
      <c r="AE414" s="1354"/>
      <c r="AF414" s="1354"/>
    </row>
    <row r="415" spans="5:32" x14ac:dyDescent="0.15">
      <c r="E415" s="62"/>
      <c r="Z415" s="1354"/>
      <c r="AA415" s="1354"/>
      <c r="AB415" s="1354"/>
      <c r="AC415" s="1354"/>
      <c r="AD415" s="1354"/>
      <c r="AE415" s="1354"/>
      <c r="AF415" s="1354"/>
    </row>
    <row r="416" spans="5:32" x14ac:dyDescent="0.15">
      <c r="E416" s="62"/>
      <c r="Z416" s="1354"/>
      <c r="AA416" s="1361"/>
      <c r="AB416" s="1361"/>
      <c r="AC416" s="1361"/>
      <c r="AD416" s="1361"/>
      <c r="AE416" s="1361"/>
      <c r="AF416" s="1361"/>
    </row>
    <row r="417" spans="5:32" x14ac:dyDescent="0.15">
      <c r="E417" s="62"/>
      <c r="Z417" s="1354"/>
      <c r="AA417" s="1354"/>
      <c r="AB417" s="1354"/>
      <c r="AC417" s="1354"/>
      <c r="AD417" s="1354"/>
      <c r="AE417" s="1354"/>
      <c r="AF417" s="1354"/>
    </row>
    <row r="418" spans="5:32" x14ac:dyDescent="0.15">
      <c r="E418" s="62"/>
      <c r="Z418" s="1354"/>
      <c r="AA418" s="1354"/>
      <c r="AB418" s="1354"/>
      <c r="AC418" s="1354"/>
      <c r="AD418" s="1354"/>
      <c r="AE418" s="1354"/>
      <c r="AF418" s="1354"/>
    </row>
    <row r="419" spans="5:32" x14ac:dyDescent="0.15">
      <c r="E419" s="62"/>
      <c r="Z419" s="1354"/>
      <c r="AA419" s="1354"/>
      <c r="AB419" s="1354"/>
      <c r="AC419" s="1354"/>
      <c r="AD419" s="1354"/>
      <c r="AE419" s="1354"/>
      <c r="AF419" s="1354"/>
    </row>
    <row r="420" spans="5:32" x14ac:dyDescent="0.15">
      <c r="E420" s="62"/>
      <c r="Z420" s="1354"/>
      <c r="AA420" s="1354"/>
      <c r="AB420" s="1354"/>
      <c r="AC420" s="1354"/>
      <c r="AD420" s="1354"/>
      <c r="AE420" s="1354"/>
      <c r="AF420" s="1354"/>
    </row>
    <row r="421" spans="5:32" x14ac:dyDescent="0.15">
      <c r="E421" s="62"/>
      <c r="Z421" s="1354"/>
      <c r="AA421" s="1354"/>
      <c r="AB421" s="1354"/>
      <c r="AC421" s="1354"/>
      <c r="AD421" s="1354"/>
      <c r="AE421" s="1354"/>
      <c r="AF421" s="1354"/>
    </row>
    <row r="422" spans="5:32" x14ac:dyDescent="0.15">
      <c r="E422" s="62"/>
      <c r="Z422" s="1354"/>
      <c r="AA422" s="1354"/>
      <c r="AB422" s="1354"/>
      <c r="AC422" s="1354"/>
      <c r="AD422" s="1354"/>
      <c r="AE422" s="1354"/>
      <c r="AF422" s="1354"/>
    </row>
    <row r="423" spans="5:32" x14ac:dyDescent="0.15">
      <c r="E423" s="62"/>
      <c r="Z423" s="1354"/>
      <c r="AA423" s="1354"/>
      <c r="AB423" s="1354"/>
      <c r="AC423" s="1354"/>
      <c r="AD423" s="1354"/>
      <c r="AE423" s="1354"/>
      <c r="AF423" s="1354"/>
    </row>
    <row r="424" spans="5:32" x14ac:dyDescent="0.15">
      <c r="E424" s="62"/>
      <c r="Z424" s="1354"/>
      <c r="AA424" s="1354"/>
      <c r="AB424" s="1354"/>
      <c r="AC424" s="1354"/>
      <c r="AD424" s="1354"/>
      <c r="AE424" s="1354"/>
      <c r="AF424" s="1354"/>
    </row>
    <row r="425" spans="5:32" x14ac:dyDescent="0.15">
      <c r="E425" s="62"/>
      <c r="Z425" s="1354"/>
      <c r="AA425" s="1354"/>
      <c r="AB425" s="1354"/>
      <c r="AC425" s="1354"/>
      <c r="AD425" s="1354"/>
      <c r="AE425" s="1354"/>
      <c r="AF425" s="1354"/>
    </row>
    <row r="426" spans="5:32" x14ac:dyDescent="0.15">
      <c r="E426" s="62"/>
      <c r="Z426" s="1354"/>
      <c r="AA426" s="1354"/>
      <c r="AB426" s="1354"/>
      <c r="AC426" s="1354"/>
      <c r="AD426" s="1354"/>
      <c r="AE426" s="1354"/>
      <c r="AF426" s="1354"/>
    </row>
    <row r="427" spans="5:32" x14ac:dyDescent="0.15">
      <c r="E427" s="62"/>
      <c r="Z427" s="1354"/>
      <c r="AA427" s="1354"/>
      <c r="AB427" s="1354"/>
      <c r="AC427" s="1354"/>
      <c r="AD427" s="1354"/>
      <c r="AE427" s="1354"/>
      <c r="AF427" s="1354"/>
    </row>
    <row r="428" spans="5:32" x14ac:dyDescent="0.15">
      <c r="E428" s="62"/>
      <c r="Z428" s="1354"/>
      <c r="AA428" s="1354"/>
      <c r="AB428" s="1354"/>
      <c r="AC428" s="1354"/>
      <c r="AD428" s="1354"/>
      <c r="AE428" s="1354"/>
      <c r="AF428" s="1354"/>
    </row>
    <row r="429" spans="5:32" x14ac:dyDescent="0.15">
      <c r="E429" s="62"/>
      <c r="Z429" s="1354"/>
      <c r="AA429" s="1354"/>
      <c r="AB429" s="1354"/>
      <c r="AC429" s="1354"/>
      <c r="AD429" s="1354"/>
      <c r="AE429" s="1354"/>
      <c r="AF429" s="1354"/>
    </row>
    <row r="430" spans="5:32" x14ac:dyDescent="0.15">
      <c r="E430" s="62"/>
      <c r="Z430" s="1354"/>
      <c r="AA430" s="1354"/>
      <c r="AB430" s="1354"/>
      <c r="AC430" s="1354"/>
      <c r="AD430" s="1354"/>
      <c r="AE430" s="1354"/>
      <c r="AF430" s="1354"/>
    </row>
    <row r="431" spans="5:32" x14ac:dyDescent="0.15">
      <c r="E431" s="62"/>
      <c r="Z431" s="1354"/>
      <c r="AA431" s="1354"/>
      <c r="AB431" s="1354"/>
      <c r="AC431" s="1354"/>
      <c r="AD431" s="1354"/>
      <c r="AE431" s="1354"/>
      <c r="AF431" s="1354"/>
    </row>
    <row r="432" spans="5:32" x14ac:dyDescent="0.15">
      <c r="E432" s="62"/>
      <c r="Z432" s="1354"/>
      <c r="AA432" s="1354"/>
      <c r="AB432" s="1354"/>
      <c r="AC432" s="1354"/>
      <c r="AD432" s="1354"/>
      <c r="AE432" s="1354"/>
      <c r="AF432" s="1354"/>
    </row>
    <row r="433" spans="5:32" x14ac:dyDescent="0.15">
      <c r="E433" s="62"/>
      <c r="Z433" s="1354"/>
      <c r="AA433" s="1354"/>
      <c r="AB433" s="1354"/>
      <c r="AC433" s="1354"/>
      <c r="AD433" s="1354"/>
      <c r="AE433" s="1354"/>
      <c r="AF433" s="1354"/>
    </row>
    <row r="434" spans="5:32" x14ac:dyDescent="0.15">
      <c r="E434" s="62"/>
      <c r="Z434" s="1354"/>
      <c r="AA434" s="1354"/>
      <c r="AB434" s="1354"/>
      <c r="AC434" s="1354"/>
      <c r="AD434" s="1354"/>
      <c r="AE434" s="1354"/>
      <c r="AF434" s="1354"/>
    </row>
    <row r="435" spans="5:32" x14ac:dyDescent="0.15">
      <c r="E435" s="62"/>
      <c r="Z435" s="1354"/>
      <c r="AA435" s="1354"/>
      <c r="AB435" s="1354"/>
      <c r="AC435" s="1354"/>
      <c r="AD435" s="1354"/>
      <c r="AE435" s="1354"/>
      <c r="AF435" s="1354"/>
    </row>
    <row r="436" spans="5:32" x14ac:dyDescent="0.15">
      <c r="E436" s="62"/>
      <c r="Z436" s="1354"/>
      <c r="AA436" s="1354"/>
      <c r="AB436" s="1354"/>
      <c r="AC436" s="1354"/>
      <c r="AD436" s="1354"/>
      <c r="AE436" s="1354"/>
      <c r="AF436" s="1354"/>
    </row>
    <row r="437" spans="5:32" x14ac:dyDescent="0.15">
      <c r="E437" s="62"/>
      <c r="Z437" s="1354"/>
      <c r="AA437" s="1354"/>
      <c r="AB437" s="1354"/>
      <c r="AC437" s="1354"/>
      <c r="AD437" s="1354"/>
      <c r="AE437" s="1354"/>
      <c r="AF437" s="1354"/>
    </row>
    <row r="438" spans="5:32" x14ac:dyDescent="0.15">
      <c r="E438" s="62"/>
      <c r="Z438" s="1354"/>
      <c r="AA438" s="1354"/>
      <c r="AB438" s="1354"/>
      <c r="AC438" s="1354"/>
      <c r="AD438" s="1354"/>
      <c r="AE438" s="1354"/>
      <c r="AF438" s="1354"/>
    </row>
    <row r="439" spans="5:32" x14ac:dyDescent="0.15">
      <c r="E439" s="62"/>
      <c r="Z439" s="1354"/>
      <c r="AA439" s="1354"/>
      <c r="AB439" s="1354"/>
      <c r="AC439" s="1354"/>
      <c r="AD439" s="1354"/>
      <c r="AE439" s="1354"/>
      <c r="AF439" s="1354"/>
    </row>
    <row r="440" spans="5:32" x14ac:dyDescent="0.15">
      <c r="E440" s="62"/>
      <c r="Z440" s="1354"/>
      <c r="AA440" s="1354"/>
      <c r="AB440" s="1354"/>
      <c r="AC440" s="1354"/>
      <c r="AD440" s="1354"/>
      <c r="AE440" s="1354"/>
      <c r="AF440" s="1354"/>
    </row>
    <row r="441" spans="5:32" x14ac:dyDescent="0.15">
      <c r="E441" s="62"/>
      <c r="Z441" s="1354"/>
      <c r="AA441" s="1354"/>
      <c r="AB441" s="1354"/>
      <c r="AC441" s="1354"/>
      <c r="AD441" s="1354"/>
      <c r="AE441" s="1354"/>
      <c r="AF441" s="1354"/>
    </row>
    <row r="442" spans="5:32" x14ac:dyDescent="0.15">
      <c r="E442" s="62"/>
      <c r="Z442" s="1354"/>
      <c r="AA442" s="1354"/>
      <c r="AB442" s="1354"/>
      <c r="AC442" s="1354"/>
      <c r="AD442" s="1354"/>
      <c r="AE442" s="1354"/>
      <c r="AF442" s="1354"/>
    </row>
    <row r="443" spans="5:32" x14ac:dyDescent="0.15">
      <c r="E443" s="62"/>
      <c r="Z443" s="1354"/>
      <c r="AA443" s="1354"/>
      <c r="AB443" s="1354"/>
      <c r="AC443" s="1354"/>
      <c r="AD443" s="1354"/>
      <c r="AE443" s="1354"/>
      <c r="AF443" s="1354"/>
    </row>
    <row r="444" spans="5:32" x14ac:dyDescent="0.15">
      <c r="E444" s="62"/>
      <c r="Z444" s="1354"/>
      <c r="AA444" s="1354"/>
      <c r="AB444" s="1354"/>
      <c r="AC444" s="1354"/>
      <c r="AD444" s="1354"/>
      <c r="AE444" s="1354"/>
      <c r="AF444" s="1354"/>
    </row>
    <row r="445" spans="5:32" x14ac:dyDescent="0.15">
      <c r="E445" s="62"/>
      <c r="Z445" s="1354"/>
      <c r="AA445" s="1354"/>
      <c r="AB445" s="1354"/>
      <c r="AC445" s="1354"/>
      <c r="AD445" s="1354"/>
      <c r="AE445" s="1354"/>
      <c r="AF445" s="1354"/>
    </row>
    <row r="446" spans="5:32" x14ac:dyDescent="0.15">
      <c r="E446" s="62"/>
      <c r="Z446" s="1354"/>
      <c r="AA446" s="1354"/>
      <c r="AB446" s="1354"/>
      <c r="AC446" s="1354"/>
      <c r="AD446" s="1354"/>
      <c r="AE446" s="1354"/>
      <c r="AF446" s="1354"/>
    </row>
    <row r="447" spans="5:32" x14ac:dyDescent="0.15">
      <c r="E447" s="62"/>
      <c r="Z447" s="1354"/>
      <c r="AA447" s="1354"/>
      <c r="AB447" s="1354"/>
      <c r="AC447" s="1354"/>
      <c r="AD447" s="1354"/>
      <c r="AE447" s="1354"/>
      <c r="AF447" s="1354"/>
    </row>
    <row r="448" spans="5:32" x14ac:dyDescent="0.15">
      <c r="E448" s="62"/>
      <c r="Z448" s="1354"/>
      <c r="AA448" s="1354"/>
      <c r="AB448" s="1354"/>
      <c r="AC448" s="1354"/>
      <c r="AD448" s="1354"/>
      <c r="AE448" s="1354"/>
      <c r="AF448" s="1354"/>
    </row>
    <row r="449" spans="5:32" x14ac:dyDescent="0.15">
      <c r="E449" s="62"/>
      <c r="Z449" s="1354"/>
      <c r="AA449" s="1354"/>
      <c r="AB449" s="1354"/>
      <c r="AC449" s="1354"/>
      <c r="AD449" s="1354"/>
      <c r="AE449" s="1354"/>
      <c r="AF449" s="1354"/>
    </row>
    <row r="450" spans="5:32" x14ac:dyDescent="0.15">
      <c r="E450" s="62"/>
      <c r="Z450" s="1354"/>
      <c r="AA450" s="1354"/>
      <c r="AB450" s="1354"/>
      <c r="AC450" s="1354"/>
      <c r="AD450" s="1354"/>
      <c r="AE450" s="1354"/>
      <c r="AF450" s="1354"/>
    </row>
    <row r="451" spans="5:32" x14ac:dyDescent="0.15">
      <c r="E451" s="62"/>
      <c r="Z451" s="1354"/>
      <c r="AA451" s="1354"/>
      <c r="AB451" s="1354"/>
      <c r="AC451" s="1354"/>
      <c r="AD451" s="1354"/>
      <c r="AE451" s="1354"/>
      <c r="AF451" s="1354"/>
    </row>
    <row r="452" spans="5:32" x14ac:dyDescent="0.15">
      <c r="E452" s="62"/>
      <c r="Z452" s="1354"/>
      <c r="AA452" s="1354"/>
      <c r="AB452" s="1354"/>
      <c r="AC452" s="1354"/>
      <c r="AD452" s="1354"/>
      <c r="AE452" s="1354"/>
      <c r="AF452" s="1354"/>
    </row>
    <row r="453" spans="5:32" x14ac:dyDescent="0.15">
      <c r="E453" s="62"/>
      <c r="Z453" s="1354"/>
      <c r="AA453" s="1354"/>
      <c r="AB453" s="1354"/>
      <c r="AC453" s="1354"/>
      <c r="AD453" s="1354"/>
      <c r="AE453" s="1354"/>
      <c r="AF453" s="1354"/>
    </row>
    <row r="454" spans="5:32" x14ac:dyDescent="0.15">
      <c r="E454" s="62"/>
      <c r="Z454" s="1354"/>
      <c r="AA454" s="1354"/>
      <c r="AB454" s="1354"/>
      <c r="AC454" s="1354"/>
      <c r="AD454" s="1354"/>
      <c r="AE454" s="1354"/>
      <c r="AF454" s="1354"/>
    </row>
    <row r="455" spans="5:32" x14ac:dyDescent="0.15">
      <c r="E455" s="62"/>
      <c r="Z455" s="1354"/>
      <c r="AA455" s="1354"/>
      <c r="AB455" s="1354"/>
      <c r="AC455" s="1354"/>
      <c r="AD455" s="1354"/>
      <c r="AE455" s="1354"/>
      <c r="AF455" s="1354"/>
    </row>
    <row r="456" spans="5:32" x14ac:dyDescent="0.15">
      <c r="E456" s="62"/>
      <c r="Z456" s="1354"/>
      <c r="AA456" s="1354"/>
      <c r="AB456" s="1354"/>
      <c r="AC456" s="1354"/>
      <c r="AD456" s="1354"/>
      <c r="AE456" s="1354"/>
      <c r="AF456" s="1354"/>
    </row>
    <row r="457" spans="5:32" x14ac:dyDescent="0.15">
      <c r="E457" s="62"/>
      <c r="Z457" s="1354"/>
      <c r="AA457" s="1354"/>
      <c r="AB457" s="1354"/>
      <c r="AC457" s="1354"/>
      <c r="AD457" s="1354"/>
      <c r="AE457" s="1354"/>
      <c r="AF457" s="1354"/>
    </row>
    <row r="458" spans="5:32" x14ac:dyDescent="0.15">
      <c r="E458" s="62"/>
      <c r="Z458" s="1354"/>
      <c r="AA458" s="1354"/>
      <c r="AB458" s="1354"/>
      <c r="AC458" s="1354"/>
      <c r="AD458" s="1354"/>
      <c r="AE458" s="1354"/>
      <c r="AF458" s="1354"/>
    </row>
    <row r="459" spans="5:32" x14ac:dyDescent="0.15">
      <c r="E459" s="62"/>
      <c r="Z459" s="1354"/>
      <c r="AA459" s="1354"/>
      <c r="AB459" s="1354"/>
      <c r="AC459" s="1354"/>
      <c r="AD459" s="1354"/>
      <c r="AE459" s="1354"/>
      <c r="AF459" s="1354"/>
    </row>
    <row r="460" spans="5:32" x14ac:dyDescent="0.15">
      <c r="E460" s="62"/>
      <c r="Z460" s="1354"/>
      <c r="AA460" s="1354"/>
      <c r="AB460" s="1354"/>
      <c r="AC460" s="1354"/>
      <c r="AD460" s="1354"/>
      <c r="AE460" s="1354"/>
      <c r="AF460" s="1354"/>
    </row>
    <row r="461" spans="5:32" x14ac:dyDescent="0.15">
      <c r="E461" s="62"/>
      <c r="Z461" s="1354"/>
      <c r="AA461" s="1354"/>
      <c r="AB461" s="1354"/>
      <c r="AC461" s="1354"/>
      <c r="AD461" s="1354"/>
      <c r="AE461" s="1354"/>
      <c r="AF461" s="1354"/>
    </row>
    <row r="462" spans="5:32" x14ac:dyDescent="0.15">
      <c r="E462" s="62"/>
      <c r="Z462" s="1354"/>
      <c r="AA462" s="1354"/>
      <c r="AB462" s="1354"/>
      <c r="AC462" s="1354"/>
      <c r="AD462" s="1354"/>
      <c r="AE462" s="1354"/>
      <c r="AF462" s="1354"/>
    </row>
    <row r="463" spans="5:32" x14ac:dyDescent="0.15">
      <c r="E463" s="62"/>
      <c r="Z463" s="1354"/>
      <c r="AA463" s="1354"/>
      <c r="AB463" s="1354"/>
      <c r="AC463" s="1354"/>
      <c r="AD463" s="1354"/>
      <c r="AE463" s="1354"/>
      <c r="AF463" s="1354"/>
    </row>
    <row r="464" spans="5:32" x14ac:dyDescent="0.15">
      <c r="E464" s="62"/>
      <c r="Z464" s="1354"/>
      <c r="AA464" s="1354"/>
      <c r="AB464" s="1354"/>
      <c r="AC464" s="1354"/>
      <c r="AD464" s="1354"/>
      <c r="AE464" s="1354"/>
      <c r="AF464" s="1354"/>
    </row>
    <row r="465" spans="5:32" x14ac:dyDescent="0.15">
      <c r="E465" s="62"/>
      <c r="Z465" s="1354"/>
      <c r="AA465" s="1354"/>
      <c r="AB465" s="1354"/>
      <c r="AC465" s="1354"/>
      <c r="AD465" s="1354"/>
      <c r="AE465" s="1354"/>
      <c r="AF465" s="1354"/>
    </row>
    <row r="466" spans="5:32" x14ac:dyDescent="0.15">
      <c r="E466" s="62"/>
      <c r="Z466" s="1354"/>
      <c r="AA466" s="1354"/>
      <c r="AB466" s="1354"/>
      <c r="AC466" s="1354"/>
      <c r="AD466" s="1354"/>
      <c r="AE466" s="1354"/>
      <c r="AF466" s="1354"/>
    </row>
    <row r="467" spans="5:32" x14ac:dyDescent="0.15">
      <c r="E467" s="62"/>
      <c r="Z467" s="1354"/>
      <c r="AA467" s="1354"/>
      <c r="AB467" s="1354"/>
      <c r="AC467" s="1354"/>
      <c r="AD467" s="1354"/>
      <c r="AE467" s="1354"/>
      <c r="AF467" s="1354"/>
    </row>
    <row r="468" spans="5:32" x14ac:dyDescent="0.15">
      <c r="E468" s="62"/>
      <c r="Z468" s="1354"/>
      <c r="AA468" s="1354"/>
      <c r="AB468" s="1354"/>
      <c r="AC468" s="1354"/>
      <c r="AD468" s="1354"/>
      <c r="AE468" s="1354"/>
      <c r="AF468" s="1354"/>
    </row>
    <row r="469" spans="5:32" x14ac:dyDescent="0.15">
      <c r="E469" s="62"/>
      <c r="Z469" s="1354"/>
      <c r="AA469" s="1354"/>
      <c r="AB469" s="1354"/>
      <c r="AC469" s="1354"/>
      <c r="AD469" s="1354"/>
      <c r="AE469" s="1354"/>
      <c r="AF469" s="1354"/>
    </row>
    <row r="470" spans="5:32" x14ac:dyDescent="0.15">
      <c r="E470" s="62"/>
      <c r="Z470" s="1354"/>
      <c r="AA470" s="1354"/>
      <c r="AB470" s="1354"/>
      <c r="AC470" s="1354"/>
      <c r="AD470" s="1354"/>
      <c r="AE470" s="1354"/>
      <c r="AF470" s="1354"/>
    </row>
    <row r="471" spans="5:32" x14ac:dyDescent="0.15">
      <c r="E471" s="62"/>
      <c r="Z471" s="1354"/>
      <c r="AA471" s="1354"/>
      <c r="AB471" s="1354"/>
      <c r="AC471" s="1354"/>
      <c r="AD471" s="1354"/>
      <c r="AE471" s="1354"/>
      <c r="AF471" s="1354"/>
    </row>
    <row r="472" spans="5:32" x14ac:dyDescent="0.15">
      <c r="E472" s="62"/>
      <c r="Z472" s="1354"/>
      <c r="AA472" s="1354"/>
      <c r="AB472" s="1354"/>
      <c r="AC472" s="1354"/>
      <c r="AD472" s="1354"/>
      <c r="AE472" s="1354"/>
      <c r="AF472" s="1354"/>
    </row>
    <row r="473" spans="5:32" x14ac:dyDescent="0.15">
      <c r="E473" s="62"/>
      <c r="Z473" s="1354"/>
      <c r="AA473" s="1354"/>
      <c r="AB473" s="1354"/>
      <c r="AC473" s="1354"/>
      <c r="AD473" s="1354"/>
      <c r="AE473" s="1354"/>
      <c r="AF473" s="1354"/>
    </row>
    <row r="474" spans="5:32" x14ac:dyDescent="0.15">
      <c r="E474" s="62"/>
      <c r="Z474" s="1354"/>
      <c r="AA474" s="1354"/>
      <c r="AB474" s="1354"/>
      <c r="AC474" s="1354"/>
      <c r="AD474" s="1354"/>
      <c r="AE474" s="1354"/>
      <c r="AF474" s="1354"/>
    </row>
    <row r="475" spans="5:32" x14ac:dyDescent="0.15">
      <c r="E475" s="62"/>
      <c r="Z475" s="1354"/>
      <c r="AA475" s="1354"/>
      <c r="AB475" s="1354"/>
      <c r="AC475" s="1354"/>
      <c r="AD475" s="1354"/>
      <c r="AE475" s="1354"/>
      <c r="AF475" s="1354"/>
    </row>
    <row r="476" spans="5:32" x14ac:dyDescent="0.15">
      <c r="E476" s="62"/>
      <c r="Z476" s="1354"/>
      <c r="AA476" s="1354"/>
      <c r="AB476" s="1354"/>
      <c r="AC476" s="1354"/>
      <c r="AD476" s="1354"/>
      <c r="AE476" s="1354"/>
      <c r="AF476" s="1354"/>
    </row>
    <row r="477" spans="5:32" x14ac:dyDescent="0.15">
      <c r="E477" s="62"/>
      <c r="Z477" s="1354"/>
      <c r="AA477" s="1354"/>
      <c r="AB477" s="1354"/>
      <c r="AC477" s="1354"/>
      <c r="AD477" s="1354"/>
      <c r="AE477" s="1354"/>
      <c r="AF477" s="1354"/>
    </row>
    <row r="478" spans="5:32" x14ac:dyDescent="0.15">
      <c r="E478" s="62"/>
      <c r="Z478" s="1354"/>
      <c r="AA478" s="1354"/>
      <c r="AB478" s="1354"/>
      <c r="AC478" s="1354"/>
      <c r="AD478" s="1354"/>
      <c r="AE478" s="1354"/>
      <c r="AF478" s="1354"/>
    </row>
    <row r="479" spans="5:32" x14ac:dyDescent="0.15">
      <c r="E479" s="62"/>
      <c r="Z479" s="1354"/>
      <c r="AA479" s="1354"/>
      <c r="AB479" s="1354"/>
      <c r="AC479" s="1354"/>
      <c r="AD479" s="1354"/>
      <c r="AE479" s="1354"/>
      <c r="AF479" s="1354"/>
    </row>
    <row r="480" spans="5:32" x14ac:dyDescent="0.15">
      <c r="E480" s="62"/>
      <c r="Z480" s="1354"/>
      <c r="AA480" s="1354"/>
      <c r="AB480" s="1354"/>
      <c r="AC480" s="1354"/>
      <c r="AD480" s="1354"/>
      <c r="AE480" s="1354"/>
      <c r="AF480" s="1354"/>
    </row>
    <row r="481" spans="5:32" x14ac:dyDescent="0.15">
      <c r="E481" s="62"/>
      <c r="Z481" s="1354"/>
      <c r="AA481" s="1354"/>
      <c r="AB481" s="1354"/>
      <c r="AC481" s="1354"/>
      <c r="AD481" s="1354"/>
      <c r="AE481" s="1354"/>
      <c r="AF481" s="1354"/>
    </row>
    <row r="482" spans="5:32" x14ac:dyDescent="0.15">
      <c r="E482" s="62"/>
      <c r="Z482" s="1354"/>
      <c r="AA482" s="1354"/>
      <c r="AB482" s="1354"/>
      <c r="AC482" s="1354"/>
      <c r="AD482" s="1354"/>
      <c r="AE482" s="1354"/>
      <c r="AF482" s="1354"/>
    </row>
    <row r="483" spans="5:32" x14ac:dyDescent="0.15">
      <c r="E483" s="62"/>
      <c r="Z483" s="1354"/>
      <c r="AA483" s="1354"/>
      <c r="AB483" s="1354"/>
      <c r="AC483" s="1354"/>
      <c r="AD483" s="1354"/>
      <c r="AE483" s="1354"/>
      <c r="AF483" s="1354"/>
    </row>
    <row r="484" spans="5:32" x14ac:dyDescent="0.15">
      <c r="E484" s="62"/>
      <c r="Z484" s="1354"/>
      <c r="AA484" s="1354"/>
      <c r="AB484" s="1354"/>
      <c r="AC484" s="1354"/>
      <c r="AD484" s="1354"/>
      <c r="AE484" s="1354"/>
      <c r="AF484" s="1354"/>
    </row>
    <row r="485" spans="5:32" x14ac:dyDescent="0.15">
      <c r="E485" s="62"/>
      <c r="Z485" s="1354"/>
      <c r="AA485" s="1354"/>
      <c r="AB485" s="1354"/>
      <c r="AC485" s="1354"/>
      <c r="AD485" s="1354"/>
      <c r="AE485" s="1354"/>
      <c r="AF485" s="1354"/>
    </row>
    <row r="486" spans="5:32" x14ac:dyDescent="0.15">
      <c r="E486" s="62"/>
      <c r="Z486" s="1354"/>
      <c r="AA486" s="1354"/>
      <c r="AB486" s="1354"/>
      <c r="AC486" s="1354"/>
      <c r="AD486" s="1354"/>
      <c r="AE486" s="1354"/>
      <c r="AF486" s="1354"/>
    </row>
    <row r="487" spans="5:32" x14ac:dyDescent="0.15">
      <c r="E487" s="62"/>
      <c r="Z487" s="1354"/>
      <c r="AA487" s="1354"/>
      <c r="AB487" s="1354"/>
      <c r="AC487" s="1354"/>
      <c r="AD487" s="1354"/>
      <c r="AE487" s="1354"/>
      <c r="AF487" s="1354"/>
    </row>
    <row r="488" spans="5:32" x14ac:dyDescent="0.15">
      <c r="E488" s="62"/>
      <c r="Z488" s="1354"/>
      <c r="AA488" s="1354"/>
      <c r="AB488" s="1354"/>
      <c r="AC488" s="1354"/>
      <c r="AD488" s="1354"/>
      <c r="AE488" s="1354"/>
      <c r="AF488" s="1354"/>
    </row>
    <row r="489" spans="5:32" x14ac:dyDescent="0.15">
      <c r="E489" s="62"/>
      <c r="Z489" s="1354"/>
      <c r="AA489" s="1354"/>
      <c r="AB489" s="1354"/>
      <c r="AC489" s="1354"/>
      <c r="AD489" s="1354"/>
      <c r="AE489" s="1354"/>
      <c r="AF489" s="1354"/>
    </row>
    <row r="490" spans="5:32" x14ac:dyDescent="0.15">
      <c r="E490" s="62"/>
      <c r="Z490" s="1354"/>
      <c r="AA490" s="1354"/>
      <c r="AB490" s="1354"/>
      <c r="AC490" s="1354"/>
      <c r="AD490" s="1354"/>
      <c r="AE490" s="1354"/>
      <c r="AF490" s="1354"/>
    </row>
    <row r="491" spans="5:32" x14ac:dyDescent="0.15">
      <c r="E491" s="62"/>
      <c r="Z491" s="1354"/>
      <c r="AA491" s="1354"/>
      <c r="AB491" s="1354"/>
      <c r="AC491" s="1354"/>
      <c r="AD491" s="1354"/>
      <c r="AE491" s="1354"/>
      <c r="AF491" s="1354"/>
    </row>
    <row r="492" spans="5:32" x14ac:dyDescent="0.15">
      <c r="E492" s="62"/>
      <c r="Z492" s="1354"/>
      <c r="AA492" s="1354"/>
      <c r="AB492" s="1354"/>
      <c r="AC492" s="1354"/>
      <c r="AD492" s="1354"/>
      <c r="AE492" s="1354"/>
      <c r="AF492" s="1354"/>
    </row>
    <row r="493" spans="5:32" x14ac:dyDescent="0.15">
      <c r="E493" s="62"/>
      <c r="Z493" s="1354"/>
      <c r="AA493" s="1354"/>
      <c r="AB493" s="1354"/>
      <c r="AC493" s="1354"/>
      <c r="AD493" s="1354"/>
      <c r="AE493" s="1354"/>
      <c r="AF493" s="1354"/>
    </row>
    <row r="494" spans="5:32" x14ac:dyDescent="0.15">
      <c r="E494" s="62"/>
      <c r="Z494" s="1354"/>
      <c r="AA494" s="1354"/>
      <c r="AB494" s="1354"/>
      <c r="AC494" s="1354"/>
      <c r="AD494" s="1354"/>
      <c r="AE494" s="1354"/>
      <c r="AF494" s="1354"/>
    </row>
    <row r="495" spans="5:32" x14ac:dyDescent="0.15">
      <c r="E495" s="62"/>
      <c r="Z495" s="1354"/>
      <c r="AA495" s="1354"/>
      <c r="AB495" s="1354"/>
      <c r="AC495" s="1354"/>
      <c r="AD495" s="1354"/>
      <c r="AE495" s="1354"/>
      <c r="AF495" s="1354"/>
    </row>
    <row r="496" spans="5:32" x14ac:dyDescent="0.15">
      <c r="E496" s="62"/>
      <c r="Z496" s="1354"/>
      <c r="AA496" s="1354"/>
      <c r="AB496" s="1354"/>
      <c r="AC496" s="1354"/>
      <c r="AD496" s="1354"/>
      <c r="AE496" s="1354"/>
      <c r="AF496" s="1354"/>
    </row>
    <row r="497" spans="5:32" x14ac:dyDescent="0.15">
      <c r="E497" s="62"/>
      <c r="Z497" s="1354"/>
      <c r="AA497" s="1354"/>
      <c r="AB497" s="1354"/>
      <c r="AC497" s="1354"/>
      <c r="AD497" s="1354"/>
      <c r="AE497" s="1354"/>
      <c r="AF497" s="1354"/>
    </row>
    <row r="498" spans="5:32" x14ac:dyDescent="0.15">
      <c r="E498" s="62"/>
      <c r="Z498" s="1354"/>
      <c r="AA498" s="1354"/>
      <c r="AB498" s="1354"/>
      <c r="AC498" s="1354"/>
      <c r="AD498" s="1354"/>
      <c r="AE498" s="1354"/>
      <c r="AF498" s="1354"/>
    </row>
    <row r="499" spans="5:32" x14ac:dyDescent="0.15">
      <c r="E499" s="62"/>
      <c r="Z499" s="1354"/>
      <c r="AA499" s="1361"/>
      <c r="AB499" s="1361"/>
      <c r="AC499" s="1361"/>
      <c r="AD499" s="1361"/>
      <c r="AE499" s="1361"/>
      <c r="AF499" s="1361"/>
    </row>
    <row r="500" spans="5:32" x14ac:dyDescent="0.15">
      <c r="E500" s="62"/>
      <c r="Z500" s="1354"/>
      <c r="AA500" s="1354"/>
      <c r="AB500" s="1354"/>
      <c r="AC500" s="1354"/>
      <c r="AD500" s="1354"/>
      <c r="AE500" s="1354"/>
      <c r="AF500" s="1354"/>
    </row>
    <row r="501" spans="5:32" x14ac:dyDescent="0.15">
      <c r="E501" s="62"/>
      <c r="Z501" s="1354"/>
      <c r="AA501" s="1354"/>
      <c r="AB501" s="1354"/>
      <c r="AC501" s="1354"/>
      <c r="AD501" s="1354"/>
      <c r="AE501" s="1354"/>
      <c r="AF501" s="1354"/>
    </row>
    <row r="502" spans="5:32" x14ac:dyDescent="0.15">
      <c r="E502" s="62"/>
      <c r="Z502" s="1354"/>
      <c r="AA502" s="1354"/>
      <c r="AB502" s="1354"/>
      <c r="AC502" s="1354"/>
      <c r="AD502" s="1354"/>
      <c r="AE502" s="1354"/>
      <c r="AF502" s="1354"/>
    </row>
    <row r="503" spans="5:32" x14ac:dyDescent="0.15">
      <c r="E503" s="62"/>
      <c r="Z503" s="1354"/>
      <c r="AA503" s="1354"/>
      <c r="AB503" s="1354"/>
      <c r="AC503" s="1354"/>
      <c r="AD503" s="1354"/>
      <c r="AE503" s="1354"/>
      <c r="AF503" s="1354"/>
    </row>
    <row r="504" spans="5:32" x14ac:dyDescent="0.15">
      <c r="E504" s="62"/>
      <c r="Z504" s="1354"/>
      <c r="AA504" s="1354"/>
      <c r="AB504" s="1354"/>
      <c r="AC504" s="1354"/>
      <c r="AD504" s="1354"/>
      <c r="AE504" s="1354"/>
      <c r="AF504" s="1354"/>
    </row>
    <row r="505" spans="5:32" x14ac:dyDescent="0.15">
      <c r="E505" s="62"/>
      <c r="Z505" s="1354"/>
      <c r="AA505" s="1354"/>
      <c r="AB505" s="1354"/>
      <c r="AC505" s="1354"/>
      <c r="AD505" s="1354"/>
      <c r="AE505" s="1354"/>
      <c r="AF505" s="1354"/>
    </row>
    <row r="506" spans="5:32" x14ac:dyDescent="0.15">
      <c r="E506" s="62"/>
      <c r="Z506" s="1354"/>
      <c r="AA506" s="1361"/>
      <c r="AB506" s="1361"/>
      <c r="AC506" s="1361"/>
      <c r="AD506" s="1361"/>
      <c r="AE506" s="1361"/>
      <c r="AF506" s="1361"/>
    </row>
    <row r="507" spans="5:32" x14ac:dyDescent="0.15">
      <c r="E507" s="62"/>
      <c r="Z507" s="1354"/>
      <c r="AA507" s="1354"/>
      <c r="AB507" s="1354"/>
      <c r="AC507" s="1354"/>
      <c r="AD507" s="1354"/>
      <c r="AE507" s="1354"/>
      <c r="AF507" s="1354"/>
    </row>
    <row r="508" spans="5:32" x14ac:dyDescent="0.15">
      <c r="E508" s="62"/>
      <c r="Z508" s="1354"/>
      <c r="AA508" s="1354"/>
      <c r="AB508" s="1354"/>
      <c r="AC508" s="1354"/>
      <c r="AD508" s="1354"/>
      <c r="AE508" s="1354"/>
      <c r="AF508" s="1354"/>
    </row>
    <row r="509" spans="5:32" x14ac:dyDescent="0.15">
      <c r="E509" s="62"/>
      <c r="Z509" s="1354"/>
      <c r="AA509" s="1354"/>
      <c r="AB509" s="1354"/>
      <c r="AC509" s="1354"/>
      <c r="AD509" s="1354"/>
      <c r="AE509" s="1354"/>
      <c r="AF509" s="1354"/>
    </row>
    <row r="510" spans="5:32" x14ac:dyDescent="0.15">
      <c r="E510" s="62"/>
      <c r="Z510" s="1354"/>
      <c r="AA510" s="1354"/>
      <c r="AB510" s="1354"/>
      <c r="AC510" s="1354"/>
      <c r="AD510" s="1354"/>
      <c r="AE510" s="1354"/>
      <c r="AF510" s="1354"/>
    </row>
    <row r="511" spans="5:32" x14ac:dyDescent="0.15">
      <c r="E511" s="62"/>
      <c r="Z511" s="1354"/>
      <c r="AA511" s="1354"/>
      <c r="AB511" s="1354"/>
      <c r="AC511" s="1354"/>
      <c r="AD511" s="1354"/>
      <c r="AE511" s="1354"/>
      <c r="AF511" s="1354"/>
    </row>
    <row r="512" spans="5:32" x14ac:dyDescent="0.15">
      <c r="E512" s="62"/>
      <c r="Z512" s="1354"/>
      <c r="AA512" s="1354"/>
      <c r="AB512" s="1354"/>
      <c r="AC512" s="1354"/>
      <c r="AD512" s="1354"/>
      <c r="AE512" s="1354"/>
      <c r="AF512" s="1354"/>
    </row>
    <row r="513" spans="5:32" x14ac:dyDescent="0.15">
      <c r="E513" s="62"/>
      <c r="Z513" s="1354"/>
      <c r="AA513" s="1354"/>
      <c r="AB513" s="1354"/>
      <c r="AC513" s="1354"/>
      <c r="AD513" s="1354"/>
      <c r="AE513" s="1354"/>
      <c r="AF513" s="1354"/>
    </row>
    <row r="514" spans="5:32" x14ac:dyDescent="0.15">
      <c r="E514" s="62"/>
      <c r="Z514" s="1354"/>
      <c r="AA514" s="1354"/>
      <c r="AB514" s="1354"/>
      <c r="AC514" s="1354"/>
      <c r="AD514" s="1354"/>
      <c r="AE514" s="1354"/>
      <c r="AF514" s="1354"/>
    </row>
    <row r="515" spans="5:32" x14ac:dyDescent="0.15">
      <c r="E515" s="62"/>
      <c r="Z515" s="1354"/>
      <c r="AA515" s="1354"/>
      <c r="AB515" s="1354"/>
      <c r="AC515" s="1354"/>
      <c r="AD515" s="1354"/>
      <c r="AE515" s="1354"/>
      <c r="AF515" s="1354"/>
    </row>
    <row r="516" spans="5:32" x14ac:dyDescent="0.15">
      <c r="E516" s="62"/>
      <c r="Z516" s="1354"/>
      <c r="AA516" s="1354"/>
      <c r="AB516" s="1354"/>
      <c r="AC516" s="1354"/>
      <c r="AD516" s="1354"/>
      <c r="AE516" s="1354"/>
      <c r="AF516" s="1354"/>
    </row>
    <row r="517" spans="5:32" x14ac:dyDescent="0.15">
      <c r="E517" s="62"/>
      <c r="Z517" s="1354"/>
      <c r="AA517" s="1354"/>
      <c r="AB517" s="1354"/>
      <c r="AC517" s="1354"/>
      <c r="AD517" s="1354"/>
      <c r="AE517" s="1354"/>
      <c r="AF517" s="1354"/>
    </row>
    <row r="518" spans="5:32" x14ac:dyDescent="0.15">
      <c r="E518" s="62"/>
      <c r="Z518" s="1354"/>
      <c r="AA518" s="1354"/>
      <c r="AB518" s="1354"/>
      <c r="AC518" s="1354"/>
      <c r="AD518" s="1354"/>
      <c r="AE518" s="1354"/>
      <c r="AF518" s="1354"/>
    </row>
    <row r="519" spans="5:32" x14ac:dyDescent="0.15">
      <c r="E519" s="62"/>
      <c r="Z519" s="1354"/>
      <c r="AA519" s="1354"/>
      <c r="AB519" s="1354"/>
      <c r="AC519" s="1354"/>
      <c r="AD519" s="1354"/>
      <c r="AE519" s="1354"/>
      <c r="AF519" s="1354"/>
    </row>
    <row r="520" spans="5:32" x14ac:dyDescent="0.15">
      <c r="E520" s="62"/>
      <c r="Z520" s="1354"/>
      <c r="AA520" s="1354"/>
      <c r="AB520" s="1354"/>
      <c r="AC520" s="1354"/>
      <c r="AD520" s="1354"/>
      <c r="AE520" s="1354"/>
      <c r="AF520" s="1354"/>
    </row>
    <row r="521" spans="5:32" x14ac:dyDescent="0.15">
      <c r="E521" s="62"/>
      <c r="Z521" s="1354"/>
      <c r="AA521" s="1354"/>
      <c r="AB521" s="1354"/>
      <c r="AC521" s="1354"/>
      <c r="AD521" s="1354"/>
      <c r="AE521" s="1354"/>
      <c r="AF521" s="1354"/>
    </row>
    <row r="522" spans="5:32" x14ac:dyDescent="0.15">
      <c r="E522" s="62"/>
      <c r="Z522" s="1354"/>
      <c r="AA522" s="1354"/>
      <c r="AB522" s="1354"/>
      <c r="AC522" s="1354"/>
      <c r="AD522" s="1354"/>
      <c r="AE522" s="1354"/>
      <c r="AF522" s="1354"/>
    </row>
    <row r="523" spans="5:32" x14ac:dyDescent="0.15">
      <c r="E523" s="62"/>
      <c r="Z523" s="1354"/>
      <c r="AA523" s="1354"/>
      <c r="AB523" s="1354"/>
      <c r="AC523" s="1354"/>
      <c r="AD523" s="1354"/>
      <c r="AE523" s="1354"/>
      <c r="AF523" s="1354"/>
    </row>
    <row r="524" spans="5:32" x14ac:dyDescent="0.15">
      <c r="E524" s="62"/>
      <c r="Z524" s="1354"/>
      <c r="AA524" s="1354"/>
      <c r="AB524" s="1354"/>
      <c r="AC524" s="1354"/>
      <c r="AD524" s="1354"/>
      <c r="AE524" s="1354"/>
      <c r="AF524" s="1354"/>
    </row>
    <row r="525" spans="5:32" x14ac:dyDescent="0.15">
      <c r="E525" s="62"/>
      <c r="Z525" s="1354"/>
      <c r="AA525" s="1354"/>
      <c r="AB525" s="1354"/>
      <c r="AC525" s="1354"/>
      <c r="AD525" s="1354"/>
      <c r="AE525" s="1354"/>
      <c r="AF525" s="1354"/>
    </row>
    <row r="526" spans="5:32" x14ac:dyDescent="0.15">
      <c r="E526" s="62"/>
      <c r="Z526" s="1354"/>
      <c r="AA526" s="1361"/>
      <c r="AB526" s="1361"/>
      <c r="AC526" s="1361"/>
      <c r="AD526" s="1361"/>
      <c r="AE526" s="1361"/>
      <c r="AF526" s="1361"/>
    </row>
    <row r="527" spans="5:32" x14ac:dyDescent="0.15">
      <c r="E527" s="62"/>
      <c r="Z527" s="1354"/>
      <c r="AA527" s="1354"/>
      <c r="AB527" s="1354"/>
      <c r="AC527" s="1354"/>
      <c r="AD527" s="1354"/>
      <c r="AE527" s="1354"/>
      <c r="AF527" s="1354"/>
    </row>
    <row r="528" spans="5:32" x14ac:dyDescent="0.15">
      <c r="E528" s="62"/>
      <c r="Z528" s="1354"/>
      <c r="AA528" s="1354"/>
      <c r="AB528" s="1354"/>
      <c r="AC528" s="1354"/>
      <c r="AD528" s="1354"/>
      <c r="AE528" s="1354"/>
      <c r="AF528" s="1354"/>
    </row>
    <row r="529" spans="5:32" x14ac:dyDescent="0.15">
      <c r="E529" s="62"/>
      <c r="Z529" s="1354"/>
      <c r="AA529" s="1354"/>
      <c r="AB529" s="1354"/>
      <c r="AC529" s="1354"/>
      <c r="AD529" s="1354"/>
      <c r="AE529" s="1354"/>
      <c r="AF529" s="1354"/>
    </row>
    <row r="530" spans="5:32" x14ac:dyDescent="0.15">
      <c r="E530" s="62"/>
      <c r="Z530" s="1354"/>
      <c r="AA530" s="1354"/>
      <c r="AB530" s="1354"/>
      <c r="AC530" s="1354"/>
      <c r="AD530" s="1354"/>
      <c r="AE530" s="1354"/>
      <c r="AF530" s="1354"/>
    </row>
    <row r="531" spans="5:32" x14ac:dyDescent="0.15">
      <c r="E531" s="62"/>
      <c r="Z531" s="1354"/>
      <c r="AA531" s="1354"/>
      <c r="AB531" s="1354"/>
      <c r="AC531" s="1354"/>
      <c r="AD531" s="1354"/>
      <c r="AE531" s="1354"/>
      <c r="AF531" s="1354"/>
    </row>
    <row r="532" spans="5:32" x14ac:dyDescent="0.15">
      <c r="E532" s="62"/>
      <c r="Z532" s="1354"/>
      <c r="AA532" s="1354"/>
      <c r="AB532" s="1354"/>
      <c r="AC532" s="1354"/>
      <c r="AD532" s="1354"/>
      <c r="AE532" s="1354"/>
      <c r="AF532" s="1354"/>
    </row>
    <row r="533" spans="5:32" x14ac:dyDescent="0.15">
      <c r="E533" s="62"/>
      <c r="Z533" s="1354"/>
      <c r="AA533" s="1354"/>
      <c r="AB533" s="1354"/>
      <c r="AC533" s="1354"/>
      <c r="AD533" s="1354"/>
      <c r="AE533" s="1354"/>
      <c r="AF533" s="1354"/>
    </row>
    <row r="534" spans="5:32" x14ac:dyDescent="0.15">
      <c r="E534" s="62"/>
      <c r="Z534" s="1354"/>
      <c r="AA534" s="1354"/>
      <c r="AB534" s="1354"/>
      <c r="AC534" s="1354"/>
      <c r="AD534" s="1354"/>
      <c r="AE534" s="1354"/>
      <c r="AF534" s="1354"/>
    </row>
    <row r="535" spans="5:32" x14ac:dyDescent="0.15">
      <c r="E535" s="62"/>
      <c r="Z535" s="1354"/>
      <c r="AA535" s="1354"/>
      <c r="AB535" s="1354"/>
      <c r="AC535" s="1354"/>
      <c r="AD535" s="1354"/>
      <c r="AE535" s="1354"/>
      <c r="AF535" s="1354"/>
    </row>
    <row r="536" spans="5:32" x14ac:dyDescent="0.15">
      <c r="E536" s="62"/>
      <c r="Z536" s="1354"/>
      <c r="AA536" s="1354"/>
      <c r="AB536" s="1354"/>
      <c r="AC536" s="1354"/>
      <c r="AD536" s="1354"/>
      <c r="AE536" s="1354"/>
      <c r="AF536" s="1354"/>
    </row>
    <row r="537" spans="5:32" x14ac:dyDescent="0.15">
      <c r="E537" s="62"/>
      <c r="Z537" s="1354"/>
      <c r="AA537" s="1354"/>
      <c r="AB537" s="1354"/>
      <c r="AC537" s="1354"/>
      <c r="AD537" s="1354"/>
      <c r="AE537" s="1354"/>
      <c r="AF537" s="1354"/>
    </row>
    <row r="538" spans="5:32" x14ac:dyDescent="0.15">
      <c r="E538" s="62"/>
      <c r="Z538" s="1354"/>
      <c r="AA538" s="1354"/>
      <c r="AB538" s="1354"/>
      <c r="AC538" s="1354"/>
      <c r="AD538" s="1354"/>
      <c r="AE538" s="1354"/>
      <c r="AF538" s="1354"/>
    </row>
    <row r="539" spans="5:32" x14ac:dyDescent="0.15">
      <c r="E539" s="62"/>
      <c r="Z539" s="1354"/>
      <c r="AA539" s="1354"/>
      <c r="AB539" s="1354"/>
      <c r="AC539" s="1354"/>
      <c r="AD539" s="1354"/>
      <c r="AE539" s="1354"/>
      <c r="AF539" s="1354"/>
    </row>
    <row r="540" spans="5:32" x14ac:dyDescent="0.15">
      <c r="E540" s="62"/>
      <c r="Z540" s="1354"/>
      <c r="AA540" s="1354"/>
      <c r="AB540" s="1354"/>
      <c r="AC540" s="1354"/>
      <c r="AD540" s="1354"/>
      <c r="AE540" s="1354"/>
      <c r="AF540" s="1354"/>
    </row>
    <row r="541" spans="5:32" x14ac:dyDescent="0.15">
      <c r="E541" s="62"/>
      <c r="Z541" s="1354"/>
      <c r="AA541" s="1354"/>
      <c r="AB541" s="1354"/>
      <c r="AC541" s="1354"/>
      <c r="AD541" s="1354"/>
      <c r="AE541" s="1354"/>
      <c r="AF541" s="1354"/>
    </row>
    <row r="542" spans="5:32" x14ac:dyDescent="0.15">
      <c r="E542" s="62"/>
      <c r="Z542" s="1354"/>
      <c r="AA542" s="1354"/>
      <c r="AB542" s="1354"/>
      <c r="AC542" s="1354"/>
      <c r="AD542" s="1354"/>
      <c r="AE542" s="1354"/>
      <c r="AF542" s="1354"/>
    </row>
    <row r="543" spans="5:32" x14ac:dyDescent="0.15">
      <c r="E543" s="62"/>
      <c r="Z543" s="1354"/>
      <c r="AA543" s="1361"/>
      <c r="AB543" s="1361"/>
      <c r="AC543" s="1361"/>
      <c r="AD543" s="1361"/>
      <c r="AE543" s="1361"/>
      <c r="AF543" s="1361"/>
    </row>
    <row r="544" spans="5:32" x14ac:dyDescent="0.15">
      <c r="E544" s="62"/>
      <c r="Z544" s="1354"/>
      <c r="AA544" s="1354"/>
      <c r="AB544" s="1354"/>
      <c r="AC544" s="1354"/>
      <c r="AD544" s="1354"/>
      <c r="AE544" s="1354"/>
      <c r="AF544" s="1354"/>
    </row>
    <row r="545" spans="5:32" x14ac:dyDescent="0.15">
      <c r="E545" s="62"/>
      <c r="Z545" s="1354"/>
      <c r="AA545" s="1354"/>
      <c r="AB545" s="1354"/>
      <c r="AC545" s="1354"/>
      <c r="AD545" s="1354"/>
      <c r="AE545" s="1354"/>
      <c r="AF545" s="1354"/>
    </row>
    <row r="546" spans="5:32" x14ac:dyDescent="0.15">
      <c r="E546" s="62"/>
      <c r="Z546" s="1354"/>
      <c r="AA546" s="1354"/>
      <c r="AB546" s="1354"/>
      <c r="AC546" s="1354"/>
      <c r="AD546" s="1354"/>
      <c r="AE546" s="1354"/>
      <c r="AF546" s="1354"/>
    </row>
    <row r="547" spans="5:32" x14ac:dyDescent="0.15">
      <c r="E547" s="62"/>
      <c r="Z547" s="1354"/>
      <c r="AA547" s="1354"/>
      <c r="AB547" s="1354"/>
      <c r="AC547" s="1354"/>
      <c r="AD547" s="1354"/>
      <c r="AE547" s="1354"/>
      <c r="AF547" s="1354"/>
    </row>
    <row r="548" spans="5:32" x14ac:dyDescent="0.15">
      <c r="E548" s="62"/>
      <c r="Z548" s="1354"/>
      <c r="AA548" s="1354"/>
      <c r="AB548" s="1354"/>
      <c r="AC548" s="1354"/>
      <c r="AD548" s="1354"/>
      <c r="AE548" s="1354"/>
      <c r="AF548" s="1354"/>
    </row>
    <row r="549" spans="5:32" x14ac:dyDescent="0.15">
      <c r="E549" s="62"/>
      <c r="Z549" s="1354"/>
      <c r="AA549" s="1354"/>
      <c r="AB549" s="1354"/>
      <c r="AC549" s="1354"/>
      <c r="AD549" s="1354"/>
      <c r="AE549" s="1354"/>
      <c r="AF549" s="1354"/>
    </row>
    <row r="550" spans="5:32" x14ac:dyDescent="0.15">
      <c r="E550" s="62"/>
      <c r="Z550" s="1354"/>
      <c r="AA550" s="1361"/>
      <c r="AB550" s="1361"/>
      <c r="AC550" s="1361"/>
      <c r="AD550" s="1361"/>
      <c r="AE550" s="1361"/>
      <c r="AF550" s="1361"/>
    </row>
    <row r="551" spans="5:32" x14ac:dyDescent="0.15">
      <c r="E551" s="62"/>
      <c r="Z551" s="1354"/>
      <c r="AA551" s="1354"/>
      <c r="AB551" s="1354"/>
      <c r="AC551" s="1354"/>
      <c r="AD551" s="1354"/>
      <c r="AE551" s="1354"/>
      <c r="AF551" s="1354"/>
    </row>
    <row r="552" spans="5:32" x14ac:dyDescent="0.15">
      <c r="E552" s="62"/>
      <c r="Z552" s="1354"/>
      <c r="AA552" s="1354"/>
      <c r="AB552" s="1354"/>
      <c r="AC552" s="1354"/>
      <c r="AD552" s="1354"/>
      <c r="AE552" s="1354"/>
      <c r="AF552" s="1354"/>
    </row>
    <row r="553" spans="5:32" x14ac:dyDescent="0.15">
      <c r="E553" s="62"/>
      <c r="Z553" s="1354"/>
      <c r="AA553" s="1354"/>
      <c r="AB553" s="1354"/>
      <c r="AC553" s="1354"/>
      <c r="AD553" s="1354"/>
      <c r="AE553" s="1354"/>
      <c r="AF553" s="1354"/>
    </row>
    <row r="554" spans="5:32" x14ac:dyDescent="0.15">
      <c r="E554" s="62"/>
      <c r="Z554" s="1354"/>
      <c r="AA554" s="1354"/>
      <c r="AB554" s="1354"/>
      <c r="AC554" s="1354"/>
      <c r="AD554" s="1354"/>
      <c r="AE554" s="1354"/>
      <c r="AF554" s="1354"/>
    </row>
    <row r="555" spans="5:32" x14ac:dyDescent="0.15">
      <c r="E555" s="62"/>
      <c r="Z555" s="1354"/>
      <c r="AA555" s="1354"/>
      <c r="AB555" s="1354"/>
      <c r="AC555" s="1354"/>
      <c r="AD555" s="1354"/>
      <c r="AE555" s="1354"/>
      <c r="AF555" s="1354"/>
    </row>
    <row r="556" spans="5:32" x14ac:dyDescent="0.15">
      <c r="E556" s="62"/>
      <c r="Z556" s="1354"/>
      <c r="AA556" s="1354"/>
      <c r="AB556" s="1354"/>
      <c r="AC556" s="1354"/>
      <c r="AD556" s="1354"/>
      <c r="AE556" s="1354"/>
      <c r="AF556" s="1354"/>
    </row>
    <row r="557" spans="5:32" x14ac:dyDescent="0.15">
      <c r="E557" s="62"/>
      <c r="Z557" s="1354"/>
      <c r="AA557" s="1354"/>
      <c r="AB557" s="1354"/>
      <c r="AC557" s="1354"/>
      <c r="AD557" s="1354"/>
      <c r="AE557" s="1354"/>
      <c r="AF557" s="1354"/>
    </row>
    <row r="558" spans="5:32" x14ac:dyDescent="0.15">
      <c r="E558" s="62"/>
      <c r="Z558" s="1354"/>
      <c r="AA558" s="1354"/>
      <c r="AB558" s="1354"/>
      <c r="AC558" s="1354"/>
      <c r="AD558" s="1354"/>
      <c r="AE558" s="1354"/>
      <c r="AF558" s="1354"/>
    </row>
    <row r="559" spans="5:32" x14ac:dyDescent="0.15">
      <c r="E559" s="62"/>
      <c r="Z559" s="1354"/>
      <c r="AA559" s="1354"/>
      <c r="AB559" s="1354"/>
      <c r="AC559" s="1354"/>
      <c r="AD559" s="1354"/>
      <c r="AE559" s="1354"/>
      <c r="AF559" s="1354"/>
    </row>
    <row r="560" spans="5:32" x14ac:dyDescent="0.15">
      <c r="E560" s="62"/>
      <c r="Z560" s="1354"/>
      <c r="AA560" s="1354"/>
      <c r="AB560" s="1354"/>
      <c r="AC560" s="1354"/>
      <c r="AD560" s="1354"/>
      <c r="AE560" s="1354"/>
      <c r="AF560" s="1354"/>
    </row>
    <row r="561" spans="5:32" x14ac:dyDescent="0.15">
      <c r="E561" s="62"/>
      <c r="Z561" s="1354"/>
      <c r="AA561" s="1354"/>
      <c r="AB561" s="1354"/>
      <c r="AC561" s="1354"/>
      <c r="AD561" s="1354"/>
      <c r="AE561" s="1354"/>
      <c r="AF561" s="1354"/>
    </row>
    <row r="562" spans="5:32" x14ac:dyDescent="0.15">
      <c r="E562" s="62"/>
      <c r="Z562" s="1354"/>
      <c r="AA562" s="1354"/>
      <c r="AB562" s="1354"/>
      <c r="AC562" s="1354"/>
      <c r="AD562" s="1354"/>
      <c r="AE562" s="1354"/>
      <c r="AF562" s="1354"/>
    </row>
    <row r="563" spans="5:32" x14ac:dyDescent="0.15">
      <c r="E563" s="62"/>
      <c r="Z563" s="1354"/>
      <c r="AA563" s="1354"/>
      <c r="AB563" s="1354"/>
      <c r="AC563" s="1354"/>
      <c r="AD563" s="1354"/>
      <c r="AE563" s="1354"/>
      <c r="AF563" s="1354"/>
    </row>
    <row r="564" spans="5:32" x14ac:dyDescent="0.15">
      <c r="E564" s="62"/>
      <c r="Z564" s="1354"/>
      <c r="AA564" s="1354"/>
      <c r="AB564" s="1354"/>
      <c r="AC564" s="1354"/>
      <c r="AD564" s="1354"/>
      <c r="AE564" s="1354"/>
      <c r="AF564" s="1354"/>
    </row>
    <row r="565" spans="5:32" x14ac:dyDescent="0.15">
      <c r="E565" s="62"/>
      <c r="Z565" s="1354"/>
      <c r="AA565" s="1354"/>
      <c r="AB565" s="1354"/>
      <c r="AC565" s="1354"/>
      <c r="AD565" s="1354"/>
      <c r="AE565" s="1354"/>
      <c r="AF565" s="1354"/>
    </row>
    <row r="566" spans="5:32" x14ac:dyDescent="0.15">
      <c r="E566" s="62"/>
      <c r="Z566" s="1354"/>
      <c r="AA566" s="1354"/>
      <c r="AB566" s="1354"/>
      <c r="AC566" s="1354"/>
      <c r="AD566" s="1354"/>
      <c r="AE566" s="1354"/>
      <c r="AF566" s="1354"/>
    </row>
    <row r="567" spans="5:32" x14ac:dyDescent="0.15">
      <c r="E567" s="62"/>
      <c r="Z567" s="1354"/>
      <c r="AA567" s="1354"/>
      <c r="AB567" s="1354"/>
      <c r="AC567" s="1354"/>
      <c r="AD567" s="1354"/>
      <c r="AE567" s="1354"/>
      <c r="AF567" s="1354"/>
    </row>
    <row r="568" spans="5:32" x14ac:dyDescent="0.15">
      <c r="E568" s="62"/>
      <c r="Z568" s="1354"/>
      <c r="AA568" s="1354"/>
      <c r="AB568" s="1354"/>
      <c r="AC568" s="1354"/>
      <c r="AD568" s="1354"/>
      <c r="AE568" s="1354"/>
      <c r="AF568" s="1354"/>
    </row>
    <row r="569" spans="5:32" x14ac:dyDescent="0.15">
      <c r="E569" s="62"/>
      <c r="Z569" s="1354"/>
      <c r="AA569" s="1354"/>
      <c r="AB569" s="1354"/>
      <c r="AC569" s="1354"/>
      <c r="AD569" s="1354"/>
      <c r="AE569" s="1354"/>
      <c r="AF569" s="1354"/>
    </row>
    <row r="570" spans="5:32" x14ac:dyDescent="0.15">
      <c r="E570" s="62"/>
      <c r="Z570" s="1354"/>
      <c r="AA570" s="1354"/>
      <c r="AB570" s="1354"/>
      <c r="AC570" s="1354"/>
      <c r="AD570" s="1354"/>
      <c r="AE570" s="1354"/>
      <c r="AF570" s="1354"/>
    </row>
    <row r="571" spans="5:32" x14ac:dyDescent="0.15">
      <c r="E571" s="62"/>
      <c r="Z571" s="1354"/>
      <c r="AA571" s="1354"/>
      <c r="AB571" s="1354"/>
      <c r="AC571" s="1354"/>
      <c r="AD571" s="1354"/>
      <c r="AE571" s="1354"/>
      <c r="AF571" s="1354"/>
    </row>
    <row r="572" spans="5:32" x14ac:dyDescent="0.15">
      <c r="E572" s="62"/>
      <c r="Z572" s="1354"/>
      <c r="AA572" s="1354"/>
      <c r="AB572" s="1354"/>
      <c r="AC572" s="1354"/>
      <c r="AD572" s="1354"/>
      <c r="AE572" s="1354"/>
      <c r="AF572" s="1354"/>
    </row>
    <row r="573" spans="5:32" x14ac:dyDescent="0.15">
      <c r="E573" s="62"/>
      <c r="Z573" s="1354"/>
      <c r="AA573" s="1354"/>
      <c r="AB573" s="1354"/>
      <c r="AC573" s="1354"/>
      <c r="AD573" s="1354"/>
      <c r="AE573" s="1354"/>
      <c r="AF573" s="1354"/>
    </row>
    <row r="574" spans="5:32" x14ac:dyDescent="0.15">
      <c r="E574" s="62"/>
      <c r="Z574" s="1354"/>
      <c r="AA574" s="1354"/>
      <c r="AB574" s="1354"/>
      <c r="AC574" s="1354"/>
      <c r="AD574" s="1354"/>
      <c r="AE574" s="1354"/>
      <c r="AF574" s="1354"/>
    </row>
    <row r="575" spans="5:32" x14ac:dyDescent="0.15">
      <c r="E575" s="62"/>
      <c r="Z575" s="1354"/>
      <c r="AA575" s="1354"/>
      <c r="AB575" s="1354"/>
      <c r="AC575" s="1354"/>
      <c r="AD575" s="1354"/>
      <c r="AE575" s="1354"/>
      <c r="AF575" s="1354"/>
    </row>
    <row r="576" spans="5:32" x14ac:dyDescent="0.15">
      <c r="E576" s="62"/>
      <c r="Z576" s="1354"/>
      <c r="AA576" s="1354"/>
      <c r="AB576" s="1354"/>
      <c r="AC576" s="1354"/>
      <c r="AD576" s="1354"/>
      <c r="AE576" s="1354"/>
      <c r="AF576" s="1354"/>
    </row>
    <row r="577" spans="5:32" x14ac:dyDescent="0.15">
      <c r="E577" s="62"/>
      <c r="Z577" s="1354"/>
      <c r="AA577" s="1354"/>
      <c r="AB577" s="1354"/>
      <c r="AC577" s="1354"/>
      <c r="AD577" s="1354"/>
      <c r="AE577" s="1354"/>
      <c r="AF577" s="1354"/>
    </row>
    <row r="578" spans="5:32" x14ac:dyDescent="0.15">
      <c r="E578" s="62"/>
      <c r="Z578" s="1354"/>
      <c r="AA578" s="1354"/>
      <c r="AB578" s="1354"/>
      <c r="AC578" s="1354"/>
      <c r="AD578" s="1354"/>
      <c r="AE578" s="1354"/>
      <c r="AF578" s="1354"/>
    </row>
    <row r="579" spans="5:32" x14ac:dyDescent="0.15">
      <c r="E579" s="62"/>
      <c r="Z579" s="1354"/>
      <c r="AA579" s="1354"/>
      <c r="AB579" s="1354"/>
      <c r="AC579" s="1354"/>
      <c r="AD579" s="1354"/>
      <c r="AE579" s="1354"/>
      <c r="AF579" s="1354"/>
    </row>
    <row r="580" spans="5:32" x14ac:dyDescent="0.15">
      <c r="E580" s="62"/>
      <c r="Z580" s="1354"/>
      <c r="AA580" s="1354"/>
      <c r="AB580" s="1354"/>
      <c r="AC580" s="1354"/>
      <c r="AD580" s="1354"/>
      <c r="AE580" s="1354"/>
      <c r="AF580" s="1354"/>
    </row>
    <row r="581" spans="5:32" x14ac:dyDescent="0.15">
      <c r="E581" s="62"/>
      <c r="Z581" s="1354"/>
      <c r="AA581" s="1354"/>
      <c r="AB581" s="1354"/>
      <c r="AC581" s="1354"/>
      <c r="AD581" s="1354"/>
      <c r="AE581" s="1354"/>
      <c r="AF581" s="1354"/>
    </row>
    <row r="582" spans="5:32" x14ac:dyDescent="0.15">
      <c r="E582" s="62"/>
      <c r="Z582" s="1354"/>
      <c r="AA582" s="1354"/>
      <c r="AB582" s="1354"/>
      <c r="AC582" s="1354"/>
      <c r="AD582" s="1354"/>
      <c r="AE582" s="1354"/>
      <c r="AF582" s="1354"/>
    </row>
    <row r="583" spans="5:32" x14ac:dyDescent="0.15">
      <c r="E583" s="62"/>
      <c r="Z583" s="1354"/>
      <c r="AA583" s="1354"/>
      <c r="AB583" s="1354"/>
      <c r="AC583" s="1354"/>
      <c r="AD583" s="1354"/>
      <c r="AE583" s="1354"/>
      <c r="AF583" s="1354"/>
    </row>
    <row r="584" spans="5:32" x14ac:dyDescent="0.15">
      <c r="E584" s="62"/>
      <c r="Z584" s="1354"/>
      <c r="AA584" s="1361"/>
      <c r="AB584" s="1361"/>
      <c r="AC584" s="1361"/>
      <c r="AD584" s="1361"/>
      <c r="AE584" s="1361"/>
      <c r="AF584" s="1361"/>
    </row>
    <row r="585" spans="5:32" x14ac:dyDescent="0.15">
      <c r="E585" s="62"/>
      <c r="Z585" s="1354"/>
      <c r="AA585" s="1354"/>
      <c r="AB585" s="1354"/>
      <c r="AC585" s="1354"/>
      <c r="AD585" s="1354"/>
      <c r="AE585" s="1354"/>
      <c r="AF585" s="1354"/>
    </row>
    <row r="586" spans="5:32" x14ac:dyDescent="0.15">
      <c r="E586" s="62"/>
      <c r="Z586" s="1354"/>
      <c r="AA586" s="1354"/>
      <c r="AB586" s="1354"/>
      <c r="AC586" s="1354"/>
      <c r="AD586" s="1354"/>
      <c r="AE586" s="1354"/>
      <c r="AF586" s="1354"/>
    </row>
    <row r="587" spans="5:32" x14ac:dyDescent="0.15">
      <c r="E587" s="62"/>
      <c r="Z587" s="1354"/>
      <c r="AA587" s="1354"/>
      <c r="AB587" s="1354"/>
      <c r="AC587" s="1354"/>
      <c r="AD587" s="1354"/>
      <c r="AE587" s="1354"/>
      <c r="AF587" s="1354"/>
    </row>
    <row r="588" spans="5:32" x14ac:dyDescent="0.15">
      <c r="E588" s="62"/>
      <c r="Z588" s="1354"/>
      <c r="AA588" s="1354"/>
      <c r="AB588" s="1354"/>
      <c r="AC588" s="1354"/>
      <c r="AD588" s="1354"/>
      <c r="AE588" s="1354"/>
      <c r="AF588" s="1354"/>
    </row>
    <row r="589" spans="5:32" x14ac:dyDescent="0.15">
      <c r="E589" s="62"/>
      <c r="Z589" s="1354"/>
      <c r="AA589" s="1354"/>
      <c r="AB589" s="1354"/>
      <c r="AC589" s="1354"/>
      <c r="AD589" s="1354"/>
      <c r="AE589" s="1354"/>
      <c r="AF589" s="1354"/>
    </row>
    <row r="590" spans="5:32" x14ac:dyDescent="0.15">
      <c r="E590" s="62"/>
      <c r="Z590" s="1354"/>
      <c r="AA590" s="1354"/>
      <c r="AB590" s="1354"/>
      <c r="AC590" s="1354"/>
      <c r="AD590" s="1354"/>
      <c r="AE590" s="1354"/>
      <c r="AF590" s="1354"/>
    </row>
    <row r="591" spans="5:32" x14ac:dyDescent="0.15">
      <c r="E591" s="62"/>
      <c r="Z591" s="1354"/>
      <c r="AA591" s="1354"/>
      <c r="AB591" s="1354"/>
      <c r="AC591" s="1354"/>
      <c r="AD591" s="1354"/>
      <c r="AE591" s="1354"/>
      <c r="AF591" s="1354"/>
    </row>
    <row r="592" spans="5:32" x14ac:dyDescent="0.15">
      <c r="E592" s="62"/>
      <c r="Z592" s="1354"/>
      <c r="AA592" s="1354"/>
      <c r="AB592" s="1354"/>
      <c r="AC592" s="1354"/>
      <c r="AD592" s="1354"/>
      <c r="AE592" s="1354"/>
      <c r="AF592" s="1354"/>
    </row>
    <row r="593" spans="5:32" x14ac:dyDescent="0.15">
      <c r="E593" s="62"/>
      <c r="Z593" s="1354"/>
      <c r="AA593" s="1354"/>
      <c r="AB593" s="1354"/>
      <c r="AC593" s="1354"/>
      <c r="AD593" s="1354"/>
      <c r="AE593" s="1354"/>
      <c r="AF593" s="1354"/>
    </row>
    <row r="594" spans="5:32" x14ac:dyDescent="0.15">
      <c r="E594" s="62"/>
      <c r="Z594" s="1354"/>
      <c r="AA594" s="1354"/>
      <c r="AB594" s="1354"/>
      <c r="AC594" s="1354"/>
      <c r="AD594" s="1354"/>
      <c r="AE594" s="1354"/>
      <c r="AF594" s="1354"/>
    </row>
    <row r="595" spans="5:32" x14ac:dyDescent="0.15">
      <c r="E595" s="62"/>
      <c r="Z595" s="1354"/>
      <c r="AA595" s="1354"/>
      <c r="AB595" s="1354"/>
      <c r="AC595" s="1354"/>
      <c r="AD595" s="1354"/>
      <c r="AE595" s="1354"/>
      <c r="AF595" s="1354"/>
    </row>
    <row r="596" spans="5:32" x14ac:dyDescent="0.15">
      <c r="E596" s="62"/>
      <c r="Z596" s="1354"/>
      <c r="AA596" s="1354"/>
      <c r="AB596" s="1354"/>
      <c r="AC596" s="1354"/>
      <c r="AD596" s="1354"/>
      <c r="AE596" s="1354"/>
      <c r="AF596" s="1354"/>
    </row>
    <row r="597" spans="5:32" x14ac:dyDescent="0.15">
      <c r="E597" s="62"/>
      <c r="Z597" s="1354"/>
      <c r="AA597" s="1354"/>
      <c r="AB597" s="1354"/>
      <c r="AC597" s="1354"/>
      <c r="AD597" s="1354"/>
      <c r="AE597" s="1354"/>
      <c r="AF597" s="1354"/>
    </row>
    <row r="598" spans="5:32" x14ac:dyDescent="0.15">
      <c r="E598" s="62"/>
      <c r="Z598" s="1354"/>
      <c r="AA598" s="1354"/>
      <c r="AB598" s="1354"/>
      <c r="AC598" s="1354"/>
      <c r="AD598" s="1354"/>
      <c r="AE598" s="1354"/>
      <c r="AF598" s="1354"/>
    </row>
    <row r="599" spans="5:32" x14ac:dyDescent="0.15">
      <c r="E599" s="62"/>
      <c r="Z599" s="1354"/>
      <c r="AA599" s="1354"/>
      <c r="AB599" s="1354"/>
      <c r="AC599" s="1354"/>
      <c r="AD599" s="1354"/>
      <c r="AE599" s="1354"/>
      <c r="AF599" s="1354"/>
    </row>
    <row r="600" spans="5:32" x14ac:dyDescent="0.15">
      <c r="E600" s="62"/>
      <c r="Z600" s="1354"/>
      <c r="AA600" s="1354"/>
      <c r="AB600" s="1354"/>
      <c r="AC600" s="1354"/>
      <c r="AD600" s="1354"/>
      <c r="AE600" s="1354"/>
      <c r="AF600" s="1354"/>
    </row>
    <row r="601" spans="5:32" x14ac:dyDescent="0.15">
      <c r="E601" s="62"/>
      <c r="Z601" s="1354"/>
      <c r="AA601" s="1354"/>
      <c r="AB601" s="1354"/>
      <c r="AC601" s="1354"/>
      <c r="AD601" s="1354"/>
      <c r="AE601" s="1354"/>
      <c r="AF601" s="1354"/>
    </row>
    <row r="602" spans="5:32" x14ac:dyDescent="0.15">
      <c r="E602" s="62"/>
      <c r="Z602" s="1354"/>
      <c r="AA602" s="1354"/>
      <c r="AB602" s="1354"/>
      <c r="AC602" s="1354"/>
      <c r="AD602" s="1354"/>
      <c r="AE602" s="1354"/>
      <c r="AF602" s="1354"/>
    </row>
    <row r="603" spans="5:32" x14ac:dyDescent="0.15">
      <c r="E603" s="62"/>
      <c r="Z603" s="1354"/>
      <c r="AA603" s="1354"/>
      <c r="AB603" s="1354"/>
      <c r="AC603" s="1354"/>
      <c r="AD603" s="1354"/>
      <c r="AE603" s="1354"/>
      <c r="AF603" s="1354"/>
    </row>
    <row r="604" spans="5:32" x14ac:dyDescent="0.15">
      <c r="E604" s="62"/>
      <c r="Z604" s="1354"/>
      <c r="AA604" s="1354"/>
      <c r="AB604" s="1354"/>
      <c r="AC604" s="1354"/>
      <c r="AD604" s="1354"/>
      <c r="AE604" s="1354"/>
      <c r="AF604" s="1354"/>
    </row>
    <row r="605" spans="5:32" x14ac:dyDescent="0.15">
      <c r="E605" s="62"/>
      <c r="Z605" s="1354"/>
      <c r="AA605" s="1354"/>
      <c r="AB605" s="1354"/>
      <c r="AC605" s="1354"/>
      <c r="AD605" s="1354"/>
      <c r="AE605" s="1354"/>
      <c r="AF605" s="1354"/>
    </row>
    <row r="606" spans="5:32" x14ac:dyDescent="0.15">
      <c r="E606" s="62"/>
      <c r="Z606" s="1354"/>
      <c r="AA606" s="1354"/>
      <c r="AB606" s="1354"/>
      <c r="AC606" s="1354"/>
      <c r="AD606" s="1354"/>
      <c r="AE606" s="1354"/>
      <c r="AF606" s="1354"/>
    </row>
    <row r="607" spans="5:32" x14ac:dyDescent="0.15">
      <c r="E607" s="62"/>
      <c r="Z607" s="1354"/>
      <c r="AA607" s="1354"/>
      <c r="AB607" s="1354"/>
      <c r="AC607" s="1354"/>
      <c r="AD607" s="1354"/>
      <c r="AE607" s="1354"/>
      <c r="AF607" s="1354"/>
    </row>
    <row r="608" spans="5:32" x14ac:dyDescent="0.15">
      <c r="E608" s="62"/>
      <c r="Z608" s="1354"/>
      <c r="AA608" s="1354"/>
      <c r="AB608" s="1354"/>
      <c r="AC608" s="1354"/>
      <c r="AD608" s="1354"/>
      <c r="AE608" s="1354"/>
      <c r="AF608" s="1354"/>
    </row>
    <row r="609" spans="5:32" x14ac:dyDescent="0.15">
      <c r="E609" s="62"/>
      <c r="Z609" s="1354"/>
      <c r="AA609" s="1354"/>
      <c r="AB609" s="1354"/>
      <c r="AC609" s="1354"/>
      <c r="AD609" s="1354"/>
      <c r="AE609" s="1354"/>
      <c r="AF609" s="1354"/>
    </row>
    <row r="610" spans="5:32" x14ac:dyDescent="0.15">
      <c r="E610" s="62"/>
      <c r="Z610" s="1354"/>
      <c r="AA610" s="1354"/>
      <c r="AB610" s="1354"/>
      <c r="AC610" s="1354"/>
      <c r="AD610" s="1354"/>
      <c r="AE610" s="1354"/>
      <c r="AF610" s="1354"/>
    </row>
    <row r="611" spans="5:32" x14ac:dyDescent="0.15">
      <c r="E611" s="62"/>
      <c r="Z611" s="1354"/>
      <c r="AA611" s="1354"/>
      <c r="AB611" s="1354"/>
      <c r="AC611" s="1354"/>
      <c r="AD611" s="1354"/>
      <c r="AE611" s="1354"/>
      <c r="AF611" s="1354"/>
    </row>
    <row r="612" spans="5:32" x14ac:dyDescent="0.15">
      <c r="E612" s="62"/>
      <c r="Z612" s="1354"/>
      <c r="AA612" s="1354"/>
      <c r="AB612" s="1354"/>
      <c r="AC612" s="1354"/>
      <c r="AD612" s="1354"/>
      <c r="AE612" s="1354"/>
      <c r="AF612" s="1354"/>
    </row>
    <row r="613" spans="5:32" x14ac:dyDescent="0.15">
      <c r="E613" s="62"/>
      <c r="Z613" s="1354"/>
      <c r="AA613" s="1354"/>
      <c r="AB613" s="1354"/>
      <c r="AC613" s="1354"/>
      <c r="AD613" s="1354"/>
      <c r="AE613" s="1354"/>
      <c r="AF613" s="1354"/>
    </row>
    <row r="614" spans="5:32" x14ac:dyDescent="0.15">
      <c r="E614" s="62"/>
      <c r="Z614" s="1354"/>
      <c r="AA614" s="1354"/>
      <c r="AB614" s="1354"/>
      <c r="AC614" s="1354"/>
      <c r="AD614" s="1354"/>
      <c r="AE614" s="1354"/>
      <c r="AF614" s="1354"/>
    </row>
    <row r="615" spans="5:32" x14ac:dyDescent="0.15">
      <c r="E615" s="62"/>
      <c r="Z615" s="1354"/>
      <c r="AA615" s="1354"/>
      <c r="AB615" s="1354"/>
      <c r="AC615" s="1354"/>
      <c r="AD615" s="1354"/>
      <c r="AE615" s="1354"/>
      <c r="AF615" s="1354"/>
    </row>
    <row r="616" spans="5:32" x14ac:dyDescent="0.15">
      <c r="E616" s="62"/>
      <c r="Z616" s="1354"/>
      <c r="AA616" s="1354"/>
      <c r="AB616" s="1354"/>
      <c r="AC616" s="1354"/>
      <c r="AD616" s="1354"/>
      <c r="AE616" s="1354"/>
      <c r="AF616" s="1354"/>
    </row>
    <row r="617" spans="5:32" x14ac:dyDescent="0.15">
      <c r="E617" s="62"/>
      <c r="Z617" s="1354"/>
      <c r="AA617" s="1354"/>
      <c r="AB617" s="1354"/>
      <c r="AC617" s="1354"/>
      <c r="AD617" s="1354"/>
      <c r="AE617" s="1354"/>
      <c r="AF617" s="1354"/>
    </row>
    <row r="618" spans="5:32" x14ac:dyDescent="0.15">
      <c r="E618" s="62"/>
      <c r="Z618" s="1354"/>
      <c r="AA618" s="1354"/>
      <c r="AB618" s="1354"/>
      <c r="AC618" s="1354"/>
      <c r="AD618" s="1354"/>
      <c r="AE618" s="1354"/>
      <c r="AF618" s="1354"/>
    </row>
    <row r="619" spans="5:32" x14ac:dyDescent="0.15">
      <c r="E619" s="62"/>
      <c r="Z619" s="1354"/>
      <c r="AA619" s="1354"/>
      <c r="AB619" s="1354"/>
      <c r="AC619" s="1354"/>
      <c r="AD619" s="1354"/>
      <c r="AE619" s="1354"/>
      <c r="AF619" s="1354"/>
    </row>
    <row r="620" spans="5:32" x14ac:dyDescent="0.15">
      <c r="E620" s="62"/>
      <c r="Z620" s="1354"/>
      <c r="AA620" s="1354"/>
      <c r="AB620" s="1354"/>
      <c r="AC620" s="1354"/>
      <c r="AD620" s="1354"/>
      <c r="AE620" s="1354"/>
      <c r="AF620" s="1354"/>
    </row>
    <row r="621" spans="5:32" x14ac:dyDescent="0.15">
      <c r="E621" s="62"/>
      <c r="Z621" s="1354"/>
      <c r="AA621" s="1354"/>
      <c r="AB621" s="1354"/>
      <c r="AC621" s="1354"/>
      <c r="AD621" s="1354"/>
      <c r="AE621" s="1354"/>
      <c r="AF621" s="1354"/>
    </row>
    <row r="622" spans="5:32" x14ac:dyDescent="0.15">
      <c r="E622" s="62"/>
      <c r="Z622" s="1354"/>
      <c r="AA622" s="1354"/>
      <c r="AB622" s="1354"/>
      <c r="AC622" s="1354"/>
      <c r="AD622" s="1354"/>
      <c r="AE622" s="1354"/>
      <c r="AF622" s="1354"/>
    </row>
    <row r="623" spans="5:32" x14ac:dyDescent="0.15">
      <c r="E623" s="62"/>
      <c r="Z623" s="1354"/>
      <c r="AA623" s="1354"/>
      <c r="AB623" s="1354"/>
      <c r="AC623" s="1354"/>
      <c r="AD623" s="1354"/>
      <c r="AE623" s="1354"/>
      <c r="AF623" s="1354"/>
    </row>
    <row r="624" spans="5:32" x14ac:dyDescent="0.15">
      <c r="E624" s="62"/>
      <c r="Z624" s="1354"/>
      <c r="AA624" s="1354"/>
      <c r="AB624" s="1354"/>
      <c r="AC624" s="1354"/>
      <c r="AD624" s="1354"/>
      <c r="AE624" s="1354"/>
      <c r="AF624" s="1354"/>
    </row>
    <row r="625" spans="5:32" x14ac:dyDescent="0.15">
      <c r="E625" s="62"/>
      <c r="Z625" s="1354"/>
      <c r="AA625" s="1354"/>
      <c r="AB625" s="1354"/>
      <c r="AC625" s="1354"/>
      <c r="AD625" s="1354"/>
      <c r="AE625" s="1354"/>
      <c r="AF625" s="1354"/>
    </row>
    <row r="626" spans="5:32" x14ac:dyDescent="0.15">
      <c r="E626" s="62"/>
      <c r="Z626" s="1354"/>
      <c r="AA626" s="1354"/>
      <c r="AB626" s="1354"/>
      <c r="AC626" s="1354"/>
      <c r="AD626" s="1354"/>
      <c r="AE626" s="1354"/>
      <c r="AF626" s="1354"/>
    </row>
    <row r="627" spans="5:32" x14ac:dyDescent="0.15">
      <c r="E627" s="62"/>
      <c r="Z627" s="1354"/>
      <c r="AA627" s="1354"/>
      <c r="AB627" s="1354"/>
      <c r="AC627" s="1354"/>
      <c r="AD627" s="1354"/>
      <c r="AE627" s="1354"/>
      <c r="AF627" s="1354"/>
    </row>
    <row r="628" spans="5:32" x14ac:dyDescent="0.15">
      <c r="E628" s="62"/>
      <c r="Z628" s="1354"/>
      <c r="AA628" s="1354"/>
      <c r="AB628" s="1354"/>
      <c r="AC628" s="1354"/>
      <c r="AD628" s="1354"/>
      <c r="AE628" s="1354"/>
      <c r="AF628" s="1354"/>
    </row>
    <row r="629" spans="5:32" x14ac:dyDescent="0.15">
      <c r="E629" s="62"/>
      <c r="Z629" s="1354"/>
      <c r="AA629" s="1354"/>
      <c r="AB629" s="1354"/>
      <c r="AC629" s="1354"/>
      <c r="AD629" s="1354"/>
      <c r="AE629" s="1354"/>
      <c r="AF629" s="1354"/>
    </row>
    <row r="630" spans="5:32" x14ac:dyDescent="0.15">
      <c r="E630" s="62"/>
      <c r="Z630" s="1354"/>
      <c r="AA630" s="1354"/>
      <c r="AB630" s="1354"/>
      <c r="AC630" s="1354"/>
      <c r="AD630" s="1354"/>
      <c r="AE630" s="1354"/>
      <c r="AF630" s="1354"/>
    </row>
    <row r="631" spans="5:32" x14ac:dyDescent="0.15">
      <c r="E631" s="62"/>
      <c r="Z631" s="1354"/>
      <c r="AA631" s="1354"/>
      <c r="AB631" s="1354"/>
      <c r="AC631" s="1354"/>
      <c r="AD631" s="1354"/>
      <c r="AE631" s="1354"/>
      <c r="AF631" s="1354"/>
    </row>
    <row r="632" spans="5:32" x14ac:dyDescent="0.15">
      <c r="E632" s="62"/>
      <c r="Z632" s="1354"/>
      <c r="AA632" s="1354"/>
      <c r="AB632" s="1354"/>
      <c r="AC632" s="1354"/>
      <c r="AD632" s="1354"/>
      <c r="AE632" s="1354"/>
      <c r="AF632" s="1354"/>
    </row>
    <row r="633" spans="5:32" x14ac:dyDescent="0.15">
      <c r="E633" s="62"/>
      <c r="Z633" s="1354"/>
      <c r="AA633" s="1354"/>
      <c r="AB633" s="1354"/>
      <c r="AC633" s="1354"/>
      <c r="AD633" s="1354"/>
      <c r="AE633" s="1354"/>
      <c r="AF633" s="1354"/>
    </row>
    <row r="634" spans="5:32" x14ac:dyDescent="0.15">
      <c r="E634" s="62"/>
      <c r="Z634" s="1354"/>
      <c r="AA634" s="1354"/>
      <c r="AB634" s="1354"/>
      <c r="AC634" s="1354"/>
      <c r="AD634" s="1354"/>
      <c r="AE634" s="1354"/>
      <c r="AF634" s="1354"/>
    </row>
    <row r="635" spans="5:32" x14ac:dyDescent="0.15">
      <c r="E635" s="62"/>
      <c r="Z635" s="1354"/>
      <c r="AA635" s="1354"/>
      <c r="AB635" s="1354"/>
      <c r="AC635" s="1354"/>
      <c r="AD635" s="1354"/>
      <c r="AE635" s="1354"/>
      <c r="AF635" s="1354"/>
    </row>
    <row r="636" spans="5:32" x14ac:dyDescent="0.15">
      <c r="E636" s="62"/>
      <c r="Z636" s="1354"/>
      <c r="AA636" s="1354"/>
      <c r="AB636" s="1354"/>
      <c r="AC636" s="1354"/>
      <c r="AD636" s="1354"/>
      <c r="AE636" s="1354"/>
      <c r="AF636" s="1354"/>
    </row>
    <row r="637" spans="5:32" x14ac:dyDescent="0.15">
      <c r="E637" s="62"/>
      <c r="Z637" s="1354"/>
      <c r="AA637" s="1354"/>
      <c r="AB637" s="1354"/>
      <c r="AC637" s="1354"/>
      <c r="AD637" s="1354"/>
      <c r="AE637" s="1354"/>
      <c r="AF637" s="1354"/>
    </row>
    <row r="638" spans="5:32" x14ac:dyDescent="0.15">
      <c r="E638" s="62"/>
      <c r="Z638" s="1354"/>
      <c r="AA638" s="1354"/>
      <c r="AB638" s="1354"/>
      <c r="AC638" s="1354"/>
      <c r="AD638" s="1354"/>
      <c r="AE638" s="1354"/>
      <c r="AF638" s="1354"/>
    </row>
    <row r="639" spans="5:32" x14ac:dyDescent="0.15">
      <c r="E639" s="62"/>
      <c r="Z639" s="1354"/>
      <c r="AA639" s="1354"/>
      <c r="AB639" s="1354"/>
      <c r="AC639" s="1354"/>
      <c r="AD639" s="1354"/>
      <c r="AE639" s="1354"/>
      <c r="AF639" s="1354"/>
    </row>
    <row r="640" spans="5:32" x14ac:dyDescent="0.15">
      <c r="E640" s="62"/>
      <c r="Z640" s="1354"/>
      <c r="AA640" s="1354"/>
      <c r="AB640" s="1354"/>
      <c r="AC640" s="1354"/>
      <c r="AD640" s="1354"/>
      <c r="AE640" s="1354"/>
      <c r="AF640" s="1354"/>
    </row>
    <row r="641" spans="5:32" x14ac:dyDescent="0.15">
      <c r="E641" s="62"/>
      <c r="Z641" s="1354"/>
      <c r="AA641" s="1354"/>
      <c r="AB641" s="1354"/>
      <c r="AC641" s="1354"/>
      <c r="AD641" s="1354"/>
      <c r="AE641" s="1354"/>
      <c r="AF641" s="1354"/>
    </row>
    <row r="642" spans="5:32" x14ac:dyDescent="0.15">
      <c r="E642" s="62"/>
      <c r="Z642" s="1354"/>
      <c r="AA642" s="1354"/>
      <c r="AB642" s="1354"/>
      <c r="AC642" s="1354"/>
      <c r="AD642" s="1354"/>
      <c r="AE642" s="1354"/>
      <c r="AF642" s="1354"/>
    </row>
    <row r="643" spans="5:32" x14ac:dyDescent="0.15">
      <c r="E643" s="62"/>
      <c r="Z643" s="1354"/>
      <c r="AA643" s="1354"/>
      <c r="AB643" s="1354"/>
      <c r="AC643" s="1354"/>
      <c r="AD643" s="1354"/>
      <c r="AE643" s="1354"/>
      <c r="AF643" s="1354"/>
    </row>
    <row r="644" spans="5:32" x14ac:dyDescent="0.15">
      <c r="E644" s="62"/>
      <c r="Z644" s="1354"/>
      <c r="AA644" s="1354"/>
      <c r="AB644" s="1354"/>
      <c r="AC644" s="1354"/>
      <c r="AD644" s="1354"/>
      <c r="AE644" s="1354"/>
      <c r="AF644" s="1354"/>
    </row>
    <row r="645" spans="5:32" x14ac:dyDescent="0.15">
      <c r="E645" s="62"/>
      <c r="Z645" s="1354"/>
      <c r="AA645" s="1354"/>
      <c r="AB645" s="1354"/>
      <c r="AC645" s="1354"/>
      <c r="AD645" s="1354"/>
      <c r="AE645" s="1354"/>
      <c r="AF645" s="1354"/>
    </row>
    <row r="646" spans="5:32" x14ac:dyDescent="0.15">
      <c r="E646" s="62"/>
      <c r="Z646" s="1354"/>
      <c r="AA646" s="1354"/>
      <c r="AB646" s="1354"/>
      <c r="AC646" s="1354"/>
      <c r="AD646" s="1354"/>
      <c r="AE646" s="1354"/>
      <c r="AF646" s="1354"/>
    </row>
    <row r="647" spans="5:32" x14ac:dyDescent="0.15">
      <c r="E647" s="62"/>
      <c r="Z647" s="1354"/>
      <c r="AA647" s="1354"/>
      <c r="AB647" s="1354"/>
      <c r="AC647" s="1354"/>
      <c r="AD647" s="1354"/>
      <c r="AE647" s="1354"/>
      <c r="AF647" s="1354"/>
    </row>
    <row r="648" spans="5:32" x14ac:dyDescent="0.15">
      <c r="E648" s="62"/>
      <c r="Z648" s="1354"/>
      <c r="AA648" s="1361"/>
      <c r="AB648" s="1361"/>
      <c r="AC648" s="1361"/>
      <c r="AD648" s="1361"/>
      <c r="AE648" s="1361"/>
      <c r="AF648" s="1361"/>
    </row>
    <row r="649" spans="5:32" x14ac:dyDescent="0.15">
      <c r="E649" s="62"/>
      <c r="Z649" s="1354"/>
      <c r="AA649" s="1354"/>
      <c r="AB649" s="1354"/>
      <c r="AC649" s="1354"/>
      <c r="AD649" s="1354"/>
      <c r="AE649" s="1354"/>
      <c r="AF649" s="1354"/>
    </row>
    <row r="650" spans="5:32" x14ac:dyDescent="0.15">
      <c r="E650" s="62"/>
      <c r="Z650" s="1354"/>
      <c r="AA650" s="1354"/>
      <c r="AB650" s="1354"/>
      <c r="AC650" s="1354"/>
      <c r="AD650" s="1354"/>
      <c r="AE650" s="1354"/>
      <c r="AF650" s="1354"/>
    </row>
    <row r="651" spans="5:32" x14ac:dyDescent="0.15">
      <c r="E651" s="62"/>
      <c r="Z651" s="1354"/>
      <c r="AA651" s="1354"/>
      <c r="AB651" s="1354"/>
      <c r="AC651" s="1354"/>
      <c r="AD651" s="1354"/>
      <c r="AE651" s="1354"/>
      <c r="AF651" s="1354"/>
    </row>
    <row r="652" spans="5:32" x14ac:dyDescent="0.15">
      <c r="E652" s="62"/>
      <c r="Z652" s="1354"/>
      <c r="AA652" s="1354"/>
      <c r="AB652" s="1354"/>
      <c r="AC652" s="1354"/>
      <c r="AD652" s="1354"/>
      <c r="AE652" s="1354"/>
      <c r="AF652" s="1354"/>
    </row>
    <row r="653" spans="5:32" x14ac:dyDescent="0.15">
      <c r="E653" s="62"/>
      <c r="Z653" s="1354"/>
      <c r="AA653" s="1354"/>
      <c r="AB653" s="1354"/>
      <c r="AC653" s="1354"/>
      <c r="AD653" s="1354"/>
      <c r="AE653" s="1354"/>
      <c r="AF653" s="1354"/>
    </row>
    <row r="654" spans="5:32" x14ac:dyDescent="0.15">
      <c r="E654" s="62"/>
      <c r="Z654" s="1354"/>
      <c r="AA654" s="1354"/>
      <c r="AB654" s="1354"/>
      <c r="AC654" s="1354"/>
      <c r="AD654" s="1354"/>
      <c r="AE654" s="1354"/>
      <c r="AF654" s="1354"/>
    </row>
    <row r="655" spans="5:32" x14ac:dyDescent="0.15">
      <c r="E655" s="62"/>
      <c r="Z655" s="1354"/>
      <c r="AA655" s="1361"/>
      <c r="AB655" s="1361"/>
      <c r="AC655" s="1361"/>
      <c r="AD655" s="1361"/>
      <c r="AE655" s="1361"/>
      <c r="AF655" s="1361"/>
    </row>
    <row r="656" spans="5:32" x14ac:dyDescent="0.15">
      <c r="E656" s="62"/>
      <c r="Z656" s="1354"/>
      <c r="AA656" s="1354"/>
      <c r="AB656" s="1354"/>
      <c r="AC656" s="1354"/>
      <c r="AD656" s="1354"/>
      <c r="AE656" s="1354"/>
      <c r="AF656" s="1354"/>
    </row>
    <row r="657" spans="5:32" x14ac:dyDescent="0.15">
      <c r="E657" s="62"/>
      <c r="Z657" s="1354"/>
      <c r="AA657" s="1354"/>
      <c r="AB657" s="1354"/>
      <c r="AC657" s="1354"/>
      <c r="AD657" s="1354"/>
      <c r="AE657" s="1354"/>
      <c r="AF657" s="1354"/>
    </row>
    <row r="658" spans="5:32" x14ac:dyDescent="0.15">
      <c r="E658" s="62"/>
      <c r="Z658" s="1354"/>
      <c r="AA658" s="1354"/>
      <c r="AB658" s="1354"/>
      <c r="AC658" s="1354"/>
      <c r="AD658" s="1354"/>
      <c r="AE658" s="1354"/>
      <c r="AF658" s="1354"/>
    </row>
    <row r="659" spans="5:32" x14ac:dyDescent="0.15">
      <c r="E659" s="62"/>
      <c r="Z659" s="1354"/>
      <c r="AA659" s="1354"/>
      <c r="AB659" s="1354"/>
      <c r="AC659" s="1354"/>
      <c r="AD659" s="1354"/>
      <c r="AE659" s="1354"/>
      <c r="AF659" s="1354"/>
    </row>
    <row r="660" spans="5:32" x14ac:dyDescent="0.15">
      <c r="E660" s="62"/>
      <c r="Z660" s="1354"/>
      <c r="AA660" s="1354"/>
      <c r="AB660" s="1354"/>
      <c r="AC660" s="1354"/>
      <c r="AD660" s="1354"/>
      <c r="AE660" s="1354"/>
      <c r="AF660" s="1354"/>
    </row>
    <row r="661" spans="5:32" x14ac:dyDescent="0.15">
      <c r="E661" s="62"/>
      <c r="Z661" s="1354"/>
      <c r="AA661" s="1354"/>
      <c r="AB661" s="1354"/>
      <c r="AC661" s="1354"/>
      <c r="AD661" s="1354"/>
      <c r="AE661" s="1354"/>
      <c r="AF661" s="1354"/>
    </row>
    <row r="662" spans="5:32" x14ac:dyDescent="0.15">
      <c r="E662" s="62"/>
      <c r="Z662" s="1354"/>
      <c r="AA662" s="1354"/>
      <c r="AB662" s="1354"/>
      <c r="AC662" s="1354"/>
      <c r="AD662" s="1354"/>
      <c r="AE662" s="1354"/>
      <c r="AF662" s="1354"/>
    </row>
    <row r="663" spans="5:32" x14ac:dyDescent="0.15">
      <c r="E663" s="62"/>
      <c r="Z663" s="1354"/>
      <c r="AA663" s="1354"/>
      <c r="AB663" s="1354"/>
      <c r="AC663" s="1354"/>
      <c r="AD663" s="1354"/>
      <c r="AE663" s="1354"/>
      <c r="AF663" s="1354"/>
    </row>
    <row r="664" spans="5:32" x14ac:dyDescent="0.15">
      <c r="E664" s="62"/>
      <c r="Z664" s="1354"/>
      <c r="AA664" s="1354"/>
      <c r="AB664" s="1354"/>
      <c r="AC664" s="1354"/>
      <c r="AD664" s="1354"/>
      <c r="AE664" s="1354"/>
      <c r="AF664" s="1354"/>
    </row>
    <row r="665" spans="5:32" x14ac:dyDescent="0.15">
      <c r="E665" s="62"/>
      <c r="Z665" s="1354"/>
      <c r="AA665" s="1354"/>
      <c r="AB665" s="1354"/>
      <c r="AC665" s="1354"/>
      <c r="AD665" s="1354"/>
      <c r="AE665" s="1354"/>
      <c r="AF665" s="1354"/>
    </row>
    <row r="666" spans="5:32" x14ac:dyDescent="0.15">
      <c r="E666" s="62"/>
      <c r="Z666" s="1354"/>
      <c r="AA666" s="1354"/>
      <c r="AB666" s="1354"/>
      <c r="AC666" s="1354"/>
      <c r="AD666" s="1354"/>
      <c r="AE666" s="1354"/>
      <c r="AF666" s="1354"/>
    </row>
    <row r="667" spans="5:32" x14ac:dyDescent="0.15">
      <c r="E667" s="62"/>
      <c r="Z667" s="1354"/>
      <c r="AA667" s="1361"/>
      <c r="AB667" s="1361"/>
      <c r="AC667" s="1361"/>
      <c r="AD667" s="1361"/>
      <c r="AE667" s="1361"/>
      <c r="AF667" s="1361"/>
    </row>
    <row r="668" spans="5:32" x14ac:dyDescent="0.15">
      <c r="E668" s="62"/>
      <c r="Z668" s="1354"/>
      <c r="AA668" s="1354"/>
      <c r="AB668" s="1354"/>
      <c r="AC668" s="1354"/>
      <c r="AD668" s="1354"/>
      <c r="AE668" s="1354"/>
      <c r="AF668" s="1354"/>
    </row>
    <row r="669" spans="5:32" x14ac:dyDescent="0.15">
      <c r="E669" s="62"/>
      <c r="Z669" s="1354"/>
      <c r="AA669" s="1354"/>
      <c r="AB669" s="1354"/>
      <c r="AC669" s="1354"/>
      <c r="AD669" s="1354"/>
      <c r="AE669" s="1354"/>
      <c r="AF669" s="1354"/>
    </row>
    <row r="670" spans="5:32" x14ac:dyDescent="0.15">
      <c r="E670" s="62"/>
      <c r="Z670" s="1354"/>
      <c r="AA670" s="1354"/>
      <c r="AB670" s="1354"/>
      <c r="AC670" s="1354"/>
      <c r="AD670" s="1354"/>
      <c r="AE670" s="1354"/>
      <c r="AF670" s="1354"/>
    </row>
    <row r="671" spans="5:32" x14ac:dyDescent="0.15">
      <c r="E671" s="62"/>
      <c r="Z671" s="1354"/>
      <c r="AA671" s="1354"/>
      <c r="AB671" s="1354"/>
      <c r="AC671" s="1354"/>
      <c r="AD671" s="1354"/>
      <c r="AE671" s="1354"/>
      <c r="AF671" s="1354"/>
    </row>
    <row r="672" spans="5:32" x14ac:dyDescent="0.15">
      <c r="E672" s="62"/>
      <c r="Z672" s="1354"/>
      <c r="AA672" s="1354"/>
      <c r="AB672" s="1354"/>
      <c r="AC672" s="1354"/>
      <c r="AD672" s="1354"/>
      <c r="AE672" s="1354"/>
      <c r="AF672" s="1354"/>
    </row>
    <row r="673" spans="5:32" x14ac:dyDescent="0.15">
      <c r="E673" s="62"/>
      <c r="Z673" s="1354"/>
      <c r="AA673" s="1354"/>
      <c r="AB673" s="1354"/>
      <c r="AC673" s="1354"/>
      <c r="AD673" s="1354"/>
      <c r="AE673" s="1354"/>
      <c r="AF673" s="1354"/>
    </row>
    <row r="674" spans="5:32" x14ac:dyDescent="0.15">
      <c r="E674" s="62"/>
      <c r="Z674" s="1354"/>
      <c r="AA674" s="1361"/>
      <c r="AB674" s="1361"/>
      <c r="AC674" s="1361"/>
      <c r="AD674" s="1361"/>
      <c r="AE674" s="1361"/>
      <c r="AF674" s="1361"/>
    </row>
    <row r="675" spans="5:32" x14ac:dyDescent="0.15">
      <c r="E675" s="62"/>
      <c r="Z675" s="1354"/>
      <c r="AA675" s="1361"/>
      <c r="AB675" s="1361"/>
      <c r="AC675" s="1361"/>
      <c r="AD675" s="1361"/>
      <c r="AE675" s="1361"/>
      <c r="AF675" s="1361"/>
    </row>
    <row r="676" spans="5:32" x14ac:dyDescent="0.15">
      <c r="E676" s="62"/>
      <c r="Z676" s="1354"/>
      <c r="AA676" s="1354"/>
      <c r="AB676" s="1354"/>
      <c r="AC676" s="1354"/>
      <c r="AD676" s="1354"/>
      <c r="AE676" s="1354"/>
      <c r="AF676" s="1354"/>
    </row>
    <row r="677" spans="5:32" x14ac:dyDescent="0.15">
      <c r="E677" s="62"/>
      <c r="Z677" s="1354"/>
      <c r="AA677" s="1354"/>
      <c r="AB677" s="1354"/>
      <c r="AC677" s="1354"/>
      <c r="AD677" s="1354"/>
      <c r="AE677" s="1354"/>
      <c r="AF677" s="1354"/>
    </row>
    <row r="678" spans="5:32" x14ac:dyDescent="0.15">
      <c r="E678" s="62"/>
      <c r="Z678" s="1354"/>
      <c r="AA678" s="1354"/>
      <c r="AB678" s="1354"/>
      <c r="AC678" s="1354"/>
      <c r="AD678" s="1354"/>
      <c r="AE678" s="1354"/>
      <c r="AF678" s="1354"/>
    </row>
    <row r="679" spans="5:32" x14ac:dyDescent="0.15">
      <c r="E679" s="62"/>
      <c r="Z679" s="1354"/>
      <c r="AA679" s="1354"/>
      <c r="AB679" s="1354"/>
      <c r="AC679" s="1354"/>
      <c r="AD679" s="1354"/>
      <c r="AE679" s="1354"/>
      <c r="AF679" s="1354"/>
    </row>
    <row r="680" spans="5:32" x14ac:dyDescent="0.15">
      <c r="E680" s="62"/>
      <c r="Z680" s="1354"/>
      <c r="AA680" s="1354"/>
      <c r="AB680" s="1354"/>
      <c r="AC680" s="1354"/>
      <c r="AD680" s="1354"/>
      <c r="AE680" s="1354"/>
      <c r="AF680" s="1354"/>
    </row>
    <row r="681" spans="5:32" x14ac:dyDescent="0.15">
      <c r="E681" s="62"/>
      <c r="Z681" s="1354"/>
      <c r="AA681" s="1354"/>
      <c r="AB681" s="1354"/>
      <c r="AC681" s="1354"/>
      <c r="AD681" s="1354"/>
      <c r="AE681" s="1354"/>
      <c r="AF681" s="1354"/>
    </row>
    <row r="682" spans="5:32" x14ac:dyDescent="0.15">
      <c r="E682" s="62"/>
      <c r="Z682" s="1354"/>
      <c r="AA682" s="1354"/>
      <c r="AB682" s="1354"/>
      <c r="AC682" s="1354"/>
      <c r="AD682" s="1354"/>
      <c r="AE682" s="1354"/>
      <c r="AF682" s="1354"/>
    </row>
    <row r="683" spans="5:32" x14ac:dyDescent="0.15">
      <c r="E683" s="62"/>
      <c r="Z683" s="1354"/>
      <c r="AA683" s="1354"/>
      <c r="AB683" s="1354"/>
      <c r="AC683" s="1354"/>
      <c r="AD683" s="1354"/>
      <c r="AE683" s="1354"/>
      <c r="AF683" s="1354"/>
    </row>
    <row r="684" spans="5:32" x14ac:dyDescent="0.15">
      <c r="E684" s="62"/>
      <c r="Z684" s="1354"/>
      <c r="AA684" s="1354"/>
      <c r="AB684" s="1354"/>
      <c r="AC684" s="1354"/>
      <c r="AD684" s="1354"/>
      <c r="AE684" s="1354"/>
      <c r="AF684" s="1354"/>
    </row>
    <row r="685" spans="5:32" x14ac:dyDescent="0.15">
      <c r="E685" s="62"/>
      <c r="Z685" s="1354"/>
      <c r="AA685" s="1354"/>
      <c r="AB685" s="1354"/>
      <c r="AC685" s="1354"/>
      <c r="AD685" s="1354"/>
      <c r="AE685" s="1354"/>
      <c r="AF685" s="1354"/>
    </row>
    <row r="686" spans="5:32" x14ac:dyDescent="0.15">
      <c r="E686" s="62"/>
      <c r="Z686" s="1354"/>
      <c r="AA686" s="1354"/>
      <c r="AB686" s="1354"/>
      <c r="AC686" s="1354"/>
      <c r="AD686" s="1354"/>
      <c r="AE686" s="1354"/>
      <c r="AF686" s="1354"/>
    </row>
    <row r="687" spans="5:32" x14ac:dyDescent="0.15">
      <c r="E687" s="62"/>
      <c r="Z687" s="1354"/>
      <c r="AA687" s="1354"/>
      <c r="AB687" s="1354"/>
      <c r="AC687" s="1354"/>
      <c r="AD687" s="1354"/>
      <c r="AE687" s="1354"/>
      <c r="AF687" s="1354"/>
    </row>
    <row r="688" spans="5:32" x14ac:dyDescent="0.15">
      <c r="E688" s="62"/>
      <c r="Z688" s="1354"/>
      <c r="AA688" s="1354"/>
      <c r="AB688" s="1354"/>
      <c r="AC688" s="1354"/>
      <c r="AD688" s="1354"/>
      <c r="AE688" s="1354"/>
      <c r="AF688" s="1354"/>
    </row>
    <row r="689" spans="5:32" x14ac:dyDescent="0.15">
      <c r="E689" s="62"/>
      <c r="Z689" s="1354"/>
      <c r="AA689" s="1354"/>
      <c r="AB689" s="1354"/>
      <c r="AC689" s="1354"/>
      <c r="AD689" s="1354"/>
      <c r="AE689" s="1354"/>
      <c r="AF689" s="1354"/>
    </row>
    <row r="690" spans="5:32" x14ac:dyDescent="0.15">
      <c r="E690" s="62"/>
      <c r="Z690" s="1354"/>
      <c r="AA690" s="1354"/>
      <c r="AB690" s="1354"/>
      <c r="AC690" s="1354"/>
      <c r="AD690" s="1354"/>
      <c r="AE690" s="1354"/>
      <c r="AF690" s="1354"/>
    </row>
    <row r="691" spans="5:32" x14ac:dyDescent="0.15">
      <c r="E691" s="62"/>
      <c r="Z691" s="1354"/>
      <c r="AA691" s="1354"/>
      <c r="AB691" s="1354"/>
      <c r="AC691" s="1354"/>
      <c r="AD691" s="1354"/>
      <c r="AE691" s="1354"/>
      <c r="AF691" s="1354"/>
    </row>
    <row r="692" spans="5:32" x14ac:dyDescent="0.15">
      <c r="E692" s="62"/>
      <c r="Z692" s="1354"/>
      <c r="AA692" s="1354"/>
      <c r="AB692" s="1354"/>
      <c r="AC692" s="1354"/>
      <c r="AD692" s="1354"/>
      <c r="AE692" s="1354"/>
      <c r="AF692" s="1354"/>
    </row>
    <row r="693" spans="5:32" x14ac:dyDescent="0.15">
      <c r="E693" s="62"/>
      <c r="Z693" s="1354"/>
      <c r="AA693" s="1354"/>
      <c r="AB693" s="1354"/>
      <c r="AC693" s="1354"/>
      <c r="AD693" s="1354"/>
      <c r="AE693" s="1354"/>
      <c r="AF693" s="1354"/>
    </row>
    <row r="694" spans="5:32" x14ac:dyDescent="0.15">
      <c r="E694" s="62"/>
      <c r="Z694" s="1354"/>
      <c r="AA694" s="1354"/>
      <c r="AB694" s="1354"/>
      <c r="AC694" s="1354"/>
      <c r="AD694" s="1354"/>
      <c r="AE694" s="1354"/>
      <c r="AF694" s="1354"/>
    </row>
    <row r="695" spans="5:32" x14ac:dyDescent="0.15">
      <c r="E695" s="62"/>
      <c r="Z695" s="1354"/>
      <c r="AA695" s="1354"/>
      <c r="AB695" s="1354"/>
      <c r="AC695" s="1354"/>
      <c r="AD695" s="1354"/>
      <c r="AE695" s="1354"/>
      <c r="AF695" s="1354"/>
    </row>
    <row r="696" spans="5:32" x14ac:dyDescent="0.15">
      <c r="E696" s="62"/>
      <c r="Z696" s="1354"/>
      <c r="AA696" s="1354"/>
      <c r="AB696" s="1354"/>
      <c r="AC696" s="1354"/>
      <c r="AD696" s="1354"/>
      <c r="AE696" s="1354"/>
      <c r="AF696" s="1354"/>
    </row>
    <row r="697" spans="5:32" x14ac:dyDescent="0.15">
      <c r="E697" s="62"/>
      <c r="Z697" s="1354"/>
      <c r="AA697" s="1354"/>
      <c r="AB697" s="1354"/>
      <c r="AC697" s="1354"/>
      <c r="AD697" s="1354"/>
      <c r="AE697" s="1354"/>
      <c r="AF697" s="1354"/>
    </row>
    <row r="698" spans="5:32" x14ac:dyDescent="0.15">
      <c r="E698" s="62"/>
      <c r="Z698" s="1354"/>
      <c r="AA698" s="1354"/>
      <c r="AB698" s="1354"/>
      <c r="AC698" s="1354"/>
      <c r="AD698" s="1354"/>
      <c r="AE698" s="1354"/>
      <c r="AF698" s="1354"/>
    </row>
    <row r="699" spans="5:32" x14ac:dyDescent="0.15">
      <c r="E699" s="62"/>
      <c r="Z699" s="1354"/>
      <c r="AA699" s="1354"/>
      <c r="AB699" s="1354"/>
      <c r="AC699" s="1354"/>
      <c r="AD699" s="1354"/>
      <c r="AE699" s="1354"/>
      <c r="AF699" s="1354"/>
    </row>
    <row r="700" spans="5:32" x14ac:dyDescent="0.15">
      <c r="E700" s="62"/>
      <c r="Z700" s="1354"/>
      <c r="AA700" s="1354"/>
      <c r="AB700" s="1354"/>
      <c r="AC700" s="1354"/>
      <c r="AD700" s="1354"/>
      <c r="AE700" s="1354"/>
      <c r="AF700" s="1354"/>
    </row>
    <row r="701" spans="5:32" x14ac:dyDescent="0.15">
      <c r="E701" s="62"/>
      <c r="Z701" s="1354"/>
      <c r="AA701" s="1354"/>
      <c r="AB701" s="1354"/>
      <c r="AC701" s="1354"/>
      <c r="AD701" s="1354"/>
      <c r="AE701" s="1354"/>
      <c r="AF701" s="1354"/>
    </row>
    <row r="702" spans="5:32" x14ac:dyDescent="0.15">
      <c r="E702" s="62"/>
      <c r="Z702" s="1354"/>
      <c r="AA702" s="1354"/>
      <c r="AB702" s="1354"/>
      <c r="AC702" s="1354"/>
      <c r="AD702" s="1354"/>
      <c r="AE702" s="1354"/>
      <c r="AF702" s="1354"/>
    </row>
    <row r="703" spans="5:32" x14ac:dyDescent="0.15">
      <c r="E703" s="62"/>
      <c r="Z703" s="1354"/>
      <c r="AA703" s="1354"/>
      <c r="AB703" s="1354"/>
      <c r="AC703" s="1354"/>
      <c r="AD703" s="1354"/>
      <c r="AE703" s="1354"/>
      <c r="AF703" s="1354"/>
    </row>
    <row r="704" spans="5:32" x14ac:dyDescent="0.15">
      <c r="E704" s="62"/>
      <c r="Z704" s="1354"/>
      <c r="AA704" s="1354"/>
      <c r="AB704" s="1354"/>
      <c r="AC704" s="1354"/>
      <c r="AD704" s="1354"/>
      <c r="AE704" s="1354"/>
      <c r="AF704" s="1354"/>
    </row>
    <row r="705" spans="5:32" x14ac:dyDescent="0.15">
      <c r="E705" s="62"/>
      <c r="Z705" s="1354"/>
      <c r="AA705" s="1354"/>
      <c r="AB705" s="1354"/>
      <c r="AC705" s="1354"/>
      <c r="AD705" s="1354"/>
      <c r="AE705" s="1354"/>
      <c r="AF705" s="1354"/>
    </row>
    <row r="706" spans="5:32" x14ac:dyDescent="0.15">
      <c r="E706" s="62"/>
      <c r="Z706" s="1354"/>
      <c r="AA706" s="1354"/>
      <c r="AB706" s="1354"/>
      <c r="AC706" s="1354"/>
      <c r="AD706" s="1354"/>
      <c r="AE706" s="1354"/>
      <c r="AF706" s="1354"/>
    </row>
    <row r="707" spans="5:32" x14ac:dyDescent="0.15">
      <c r="E707" s="62"/>
      <c r="Z707" s="1354"/>
      <c r="AA707" s="1354"/>
      <c r="AB707" s="1354"/>
      <c r="AC707" s="1354"/>
      <c r="AD707" s="1354"/>
      <c r="AE707" s="1354"/>
      <c r="AF707" s="1354"/>
    </row>
    <row r="708" spans="5:32" x14ac:dyDescent="0.15">
      <c r="E708" s="62"/>
      <c r="Z708" s="1354"/>
      <c r="AA708" s="1354"/>
      <c r="AB708" s="1354"/>
      <c r="AC708" s="1354"/>
      <c r="AD708" s="1354"/>
      <c r="AE708" s="1354"/>
      <c r="AF708" s="1354"/>
    </row>
    <row r="709" spans="5:32" x14ac:dyDescent="0.15">
      <c r="E709" s="62"/>
      <c r="Z709" s="1354"/>
      <c r="AA709" s="1354"/>
      <c r="AB709" s="1354"/>
      <c r="AC709" s="1354"/>
      <c r="AD709" s="1354"/>
      <c r="AE709" s="1354"/>
      <c r="AF709" s="1354"/>
    </row>
    <row r="710" spans="5:32" x14ac:dyDescent="0.15">
      <c r="E710" s="62"/>
      <c r="Z710" s="1354"/>
      <c r="AA710" s="1354"/>
      <c r="AB710" s="1354"/>
      <c r="AC710" s="1354"/>
      <c r="AD710" s="1354"/>
      <c r="AE710" s="1354"/>
      <c r="AF710" s="1354"/>
    </row>
    <row r="711" spans="5:32" x14ac:dyDescent="0.15">
      <c r="E711" s="62"/>
      <c r="Z711" s="1354"/>
      <c r="AA711" s="1354"/>
      <c r="AB711" s="1354"/>
      <c r="AC711" s="1354"/>
      <c r="AD711" s="1354"/>
      <c r="AE711" s="1354"/>
      <c r="AF711" s="1354"/>
    </row>
    <row r="712" spans="5:32" x14ac:dyDescent="0.15">
      <c r="E712" s="62"/>
      <c r="Z712" s="1354"/>
      <c r="AA712" s="1354"/>
      <c r="AB712" s="1354"/>
      <c r="AC712" s="1354"/>
      <c r="AD712" s="1354"/>
      <c r="AE712" s="1354"/>
      <c r="AF712" s="1354"/>
    </row>
    <row r="713" spans="5:32" x14ac:dyDescent="0.15">
      <c r="E713" s="62"/>
      <c r="Z713" s="1354"/>
      <c r="AA713" s="1354"/>
      <c r="AB713" s="1354"/>
      <c r="AC713" s="1354"/>
      <c r="AD713" s="1354"/>
      <c r="AE713" s="1354"/>
      <c r="AF713" s="1354"/>
    </row>
    <row r="714" spans="5:32" x14ac:dyDescent="0.15">
      <c r="E714" s="62"/>
      <c r="Z714" s="1354"/>
      <c r="AA714" s="1354"/>
      <c r="AB714" s="1354"/>
      <c r="AC714" s="1354"/>
      <c r="AD714" s="1354"/>
      <c r="AE714" s="1354"/>
      <c r="AF714" s="1354"/>
    </row>
    <row r="715" spans="5:32" x14ac:dyDescent="0.15">
      <c r="E715" s="62"/>
      <c r="Z715" s="1354"/>
      <c r="AA715" s="1354"/>
      <c r="AB715" s="1354"/>
      <c r="AC715" s="1354"/>
      <c r="AD715" s="1354"/>
      <c r="AE715" s="1354"/>
      <c r="AF715" s="1354"/>
    </row>
    <row r="716" spans="5:32" x14ac:dyDescent="0.15">
      <c r="E716" s="62"/>
      <c r="Z716" s="1354"/>
      <c r="AA716" s="1354"/>
      <c r="AB716" s="1354"/>
      <c r="AC716" s="1354"/>
      <c r="AD716" s="1354"/>
      <c r="AE716" s="1354"/>
      <c r="AF716" s="1354"/>
    </row>
    <row r="717" spans="5:32" x14ac:dyDescent="0.15">
      <c r="E717" s="62"/>
      <c r="Z717" s="1354"/>
      <c r="AA717" s="1354"/>
      <c r="AB717" s="1354"/>
      <c r="AC717" s="1354"/>
      <c r="AD717" s="1354"/>
      <c r="AE717" s="1354"/>
      <c r="AF717" s="1354"/>
    </row>
    <row r="718" spans="5:32" x14ac:dyDescent="0.15">
      <c r="E718" s="62"/>
      <c r="Z718" s="1354"/>
      <c r="AA718" s="1354"/>
      <c r="AB718" s="1354"/>
      <c r="AC718" s="1354"/>
      <c r="AD718" s="1354"/>
      <c r="AE718" s="1354"/>
      <c r="AF718" s="1354"/>
    </row>
    <row r="719" spans="5:32" x14ac:dyDescent="0.15">
      <c r="E719" s="62"/>
      <c r="Z719" s="1354"/>
      <c r="AA719" s="1354"/>
      <c r="AB719" s="1354"/>
      <c r="AC719" s="1354"/>
      <c r="AD719" s="1354"/>
      <c r="AE719" s="1354"/>
      <c r="AF719" s="1354"/>
    </row>
    <row r="720" spans="5:32" x14ac:dyDescent="0.15">
      <c r="E720" s="62"/>
      <c r="Z720" s="1354"/>
      <c r="AA720" s="1354"/>
      <c r="AB720" s="1354"/>
      <c r="AC720" s="1354"/>
      <c r="AD720" s="1354"/>
      <c r="AE720" s="1354"/>
      <c r="AF720" s="1354"/>
    </row>
    <row r="721" spans="26:32" x14ac:dyDescent="0.15">
      <c r="Z721" s="1354"/>
      <c r="AA721" s="1361"/>
      <c r="AB721" s="1361"/>
      <c r="AC721" s="1361"/>
      <c r="AD721" s="1361"/>
      <c r="AE721" s="1361"/>
      <c r="AF721" s="1361"/>
    </row>
    <row r="722" spans="26:32" x14ac:dyDescent="0.15">
      <c r="Z722" s="1354"/>
      <c r="AA722" s="1354"/>
      <c r="AB722" s="1354"/>
      <c r="AC722" s="1354"/>
      <c r="AD722" s="1354"/>
      <c r="AE722" s="1354"/>
      <c r="AF722" s="1354"/>
    </row>
    <row r="723" spans="26:32" x14ac:dyDescent="0.15">
      <c r="Z723" s="1354"/>
      <c r="AA723" s="1354"/>
      <c r="AB723" s="1354"/>
      <c r="AC723" s="1354"/>
      <c r="AD723" s="1354"/>
      <c r="AE723" s="1354"/>
      <c r="AF723" s="1354"/>
    </row>
    <row r="724" spans="26:32" x14ac:dyDescent="0.15">
      <c r="Z724" s="1354"/>
      <c r="AA724" s="1354"/>
      <c r="AB724" s="1354"/>
      <c r="AC724" s="1354"/>
      <c r="AD724" s="1354"/>
      <c r="AE724" s="1354"/>
      <c r="AF724" s="1354"/>
    </row>
    <row r="725" spans="26:32" x14ac:dyDescent="0.15">
      <c r="Z725" s="1354"/>
      <c r="AA725" s="1354"/>
      <c r="AB725" s="1354"/>
      <c r="AC725" s="1354"/>
      <c r="AD725" s="1354"/>
      <c r="AE725" s="1354"/>
      <c r="AF725" s="1354"/>
    </row>
    <row r="726" spans="26:32" x14ac:dyDescent="0.15">
      <c r="Z726" s="1354"/>
      <c r="AA726" s="1354"/>
      <c r="AB726" s="1354"/>
      <c r="AC726" s="1354"/>
      <c r="AD726" s="1354"/>
      <c r="AE726" s="1354"/>
      <c r="AF726" s="1354"/>
    </row>
    <row r="727" spans="26:32" x14ac:dyDescent="0.15">
      <c r="Z727" s="1354"/>
      <c r="AA727" s="1354"/>
      <c r="AB727" s="1354"/>
      <c r="AC727" s="1354"/>
      <c r="AD727" s="1354"/>
      <c r="AE727" s="1354"/>
      <c r="AF727" s="1354"/>
    </row>
    <row r="728" spans="26:32" x14ac:dyDescent="0.15">
      <c r="Z728" s="1354"/>
      <c r="AA728" s="1354"/>
      <c r="AB728" s="1354"/>
      <c r="AC728" s="1354"/>
      <c r="AD728" s="1354"/>
      <c r="AE728" s="1354"/>
      <c r="AF728" s="1354"/>
    </row>
    <row r="729" spans="26:32" x14ac:dyDescent="0.15">
      <c r="Z729" s="1354"/>
      <c r="AA729" s="1354"/>
      <c r="AB729" s="1354"/>
      <c r="AC729" s="1354"/>
      <c r="AD729" s="1354"/>
      <c r="AE729" s="1354"/>
      <c r="AF729" s="1354"/>
    </row>
    <row r="730" spans="26:32" x14ac:dyDescent="0.15">
      <c r="Z730" s="1354"/>
      <c r="AA730" s="1354"/>
      <c r="AB730" s="1354"/>
      <c r="AC730" s="1354"/>
      <c r="AD730" s="1354"/>
      <c r="AE730" s="1354"/>
      <c r="AF730" s="1354"/>
    </row>
    <row r="731" spans="26:32" x14ac:dyDescent="0.15">
      <c r="Z731" s="1354"/>
      <c r="AA731" s="1354"/>
      <c r="AB731" s="1354"/>
      <c r="AC731" s="1354"/>
      <c r="AD731" s="1354"/>
      <c r="AE731" s="1354"/>
      <c r="AF731" s="1354"/>
    </row>
    <row r="732" spans="26:32" x14ac:dyDescent="0.15">
      <c r="Z732" s="1354"/>
      <c r="AA732" s="1354"/>
      <c r="AB732" s="1354"/>
      <c r="AC732" s="1354"/>
      <c r="AD732" s="1354"/>
      <c r="AE732" s="1354"/>
      <c r="AF732" s="1354"/>
    </row>
    <row r="733" spans="26:32" x14ac:dyDescent="0.15">
      <c r="Z733" s="1354"/>
      <c r="AA733" s="1354"/>
      <c r="AB733" s="1354"/>
      <c r="AC733" s="1354"/>
      <c r="AD733" s="1354"/>
      <c r="AE733" s="1354"/>
      <c r="AF733" s="1354"/>
    </row>
    <row r="734" spans="26:32" x14ac:dyDescent="0.15">
      <c r="Z734" s="1354"/>
      <c r="AA734" s="1354"/>
      <c r="AB734" s="1354"/>
      <c r="AC734" s="1354"/>
      <c r="AD734" s="1354"/>
      <c r="AE734" s="1354"/>
      <c r="AF734" s="1354"/>
    </row>
    <row r="735" spans="26:32" x14ac:dyDescent="0.15">
      <c r="Z735" s="1354"/>
      <c r="AA735" s="1361"/>
      <c r="AB735" s="1361"/>
      <c r="AC735" s="1361"/>
      <c r="AD735" s="1361"/>
      <c r="AE735" s="1361"/>
      <c r="AF735" s="1361"/>
    </row>
    <row r="736" spans="26:32" x14ac:dyDescent="0.15">
      <c r="Z736" s="1354"/>
      <c r="AA736" s="1354"/>
      <c r="AB736" s="1354"/>
      <c r="AC736" s="1354"/>
      <c r="AD736" s="1354"/>
      <c r="AE736" s="1354"/>
      <c r="AF736" s="1354"/>
    </row>
    <row r="737" spans="26:32" x14ac:dyDescent="0.15">
      <c r="Z737" s="1354"/>
      <c r="AA737" s="1354"/>
      <c r="AB737" s="1354"/>
      <c r="AC737" s="1354"/>
      <c r="AD737" s="1354"/>
      <c r="AE737" s="1354"/>
      <c r="AF737" s="1354"/>
    </row>
    <row r="738" spans="26:32" x14ac:dyDescent="0.15">
      <c r="Z738" s="1354"/>
      <c r="AA738" s="1354"/>
      <c r="AB738" s="1354"/>
      <c r="AC738" s="1354"/>
      <c r="AD738" s="1354"/>
      <c r="AE738" s="1354"/>
      <c r="AF738" s="1354"/>
    </row>
    <row r="739" spans="26:32" x14ac:dyDescent="0.15">
      <c r="Z739" s="1354"/>
      <c r="AA739" s="1354"/>
      <c r="AB739" s="1354"/>
      <c r="AC739" s="1354"/>
      <c r="AD739" s="1354"/>
      <c r="AE739" s="1354"/>
      <c r="AF739" s="1354"/>
    </row>
    <row r="740" spans="26:32" x14ac:dyDescent="0.15">
      <c r="Z740" s="1354"/>
      <c r="AA740" s="1354"/>
      <c r="AB740" s="1354"/>
      <c r="AC740" s="1354"/>
      <c r="AD740" s="1354"/>
      <c r="AE740" s="1354"/>
      <c r="AF740" s="1354"/>
    </row>
    <row r="741" spans="26:32" x14ac:dyDescent="0.15">
      <c r="Z741" s="1354"/>
      <c r="AA741" s="1354"/>
      <c r="AB741" s="1354"/>
      <c r="AC741" s="1354"/>
      <c r="AD741" s="1354"/>
      <c r="AE741" s="1354"/>
      <c r="AF741" s="1354"/>
    </row>
    <row r="742" spans="26:32" x14ac:dyDescent="0.15">
      <c r="Z742" s="1354"/>
      <c r="AA742" s="1354"/>
      <c r="AB742" s="1354"/>
      <c r="AC742" s="1354"/>
      <c r="AD742" s="1354"/>
      <c r="AE742" s="1354"/>
      <c r="AF742" s="1354"/>
    </row>
    <row r="743" spans="26:32" x14ac:dyDescent="0.15">
      <c r="Z743" s="1354"/>
      <c r="AA743" s="1354"/>
      <c r="AB743" s="1354"/>
      <c r="AC743" s="1354"/>
      <c r="AD743" s="1354"/>
      <c r="AE743" s="1354"/>
      <c r="AF743" s="1354"/>
    </row>
    <row r="744" spans="26:32" x14ac:dyDescent="0.15">
      <c r="Z744" s="1354"/>
      <c r="AA744" s="1354"/>
      <c r="AB744" s="1354"/>
      <c r="AC744" s="1354"/>
      <c r="AD744" s="1354"/>
      <c r="AE744" s="1354"/>
      <c r="AF744" s="1354"/>
    </row>
    <row r="745" spans="26:32" x14ac:dyDescent="0.15">
      <c r="Z745" s="1354"/>
      <c r="AA745" s="1354"/>
      <c r="AB745" s="1354"/>
      <c r="AC745" s="1354"/>
      <c r="AD745" s="1354"/>
      <c r="AE745" s="1354"/>
      <c r="AF745" s="1354"/>
    </row>
    <row r="746" spans="26:32" x14ac:dyDescent="0.15">
      <c r="Z746" s="1354"/>
      <c r="AA746" s="1354"/>
      <c r="AB746" s="1354"/>
      <c r="AC746" s="1354"/>
      <c r="AD746" s="1354"/>
      <c r="AE746" s="1354"/>
      <c r="AF746" s="1354"/>
    </row>
    <row r="747" spans="26:32" x14ac:dyDescent="0.15">
      <c r="Z747" s="1354"/>
      <c r="AA747" s="1354"/>
      <c r="AB747" s="1354"/>
      <c r="AC747" s="1354"/>
      <c r="AD747" s="1354"/>
      <c r="AE747" s="1354"/>
      <c r="AF747" s="1354"/>
    </row>
    <row r="748" spans="26:32" x14ac:dyDescent="0.15">
      <c r="Z748" s="1354"/>
      <c r="AA748" s="1354"/>
      <c r="AB748" s="1354"/>
      <c r="AC748" s="1354"/>
      <c r="AD748" s="1354"/>
      <c r="AE748" s="1354"/>
      <c r="AF748" s="1354"/>
    </row>
    <row r="749" spans="26:32" x14ac:dyDescent="0.15">
      <c r="Z749" s="1354"/>
      <c r="AA749" s="1354"/>
      <c r="AB749" s="1354"/>
      <c r="AC749" s="1354"/>
      <c r="AD749" s="1354"/>
      <c r="AE749" s="1354"/>
      <c r="AF749" s="1354"/>
    </row>
    <row r="750" spans="26:32" x14ac:dyDescent="0.15">
      <c r="Z750" s="1354"/>
      <c r="AA750" s="1354"/>
      <c r="AB750" s="1354"/>
      <c r="AC750" s="1354"/>
      <c r="AD750" s="1354"/>
      <c r="AE750" s="1354"/>
      <c r="AF750" s="1354"/>
    </row>
    <row r="751" spans="26:32" x14ac:dyDescent="0.15">
      <c r="Z751" s="1354"/>
      <c r="AA751" s="1354"/>
      <c r="AB751" s="1354"/>
      <c r="AC751" s="1354"/>
      <c r="AD751" s="1354"/>
      <c r="AE751" s="1354"/>
      <c r="AF751" s="1354"/>
    </row>
    <row r="752" spans="26:32" x14ac:dyDescent="0.15">
      <c r="Z752" s="1354"/>
      <c r="AA752" s="1354"/>
      <c r="AB752" s="1354"/>
      <c r="AC752" s="1354"/>
      <c r="AD752" s="1354"/>
      <c r="AE752" s="1354"/>
      <c r="AF752" s="1354"/>
    </row>
    <row r="753" spans="26:32" x14ac:dyDescent="0.15">
      <c r="Z753" s="1354"/>
      <c r="AA753" s="1354"/>
      <c r="AB753" s="1354"/>
      <c r="AC753" s="1354"/>
      <c r="AD753" s="1354"/>
      <c r="AE753" s="1354"/>
      <c r="AF753" s="1354"/>
    </row>
    <row r="754" spans="26:32" x14ac:dyDescent="0.15">
      <c r="Z754" s="1354"/>
      <c r="AA754" s="1354"/>
      <c r="AB754" s="1354"/>
      <c r="AC754" s="1354"/>
      <c r="AD754" s="1354"/>
      <c r="AE754" s="1354"/>
      <c r="AF754" s="1354"/>
    </row>
    <row r="755" spans="26:32" x14ac:dyDescent="0.15">
      <c r="Z755" s="1354"/>
      <c r="AA755" s="1354"/>
      <c r="AB755" s="1354"/>
      <c r="AC755" s="1354"/>
      <c r="AD755" s="1354"/>
      <c r="AE755" s="1354"/>
      <c r="AF755" s="1354"/>
    </row>
    <row r="756" spans="26:32" x14ac:dyDescent="0.15">
      <c r="Z756" s="1354"/>
      <c r="AA756" s="1354"/>
      <c r="AB756" s="1354"/>
      <c r="AC756" s="1354"/>
      <c r="AD756" s="1354"/>
      <c r="AE756" s="1354"/>
      <c r="AF756" s="1354"/>
    </row>
    <row r="757" spans="26:32" x14ac:dyDescent="0.15">
      <c r="Z757" s="1354"/>
      <c r="AA757" s="1354"/>
      <c r="AB757" s="1354"/>
      <c r="AC757" s="1354"/>
      <c r="AD757" s="1354"/>
      <c r="AE757" s="1354"/>
      <c r="AF757" s="1354"/>
    </row>
    <row r="758" spans="26:32" x14ac:dyDescent="0.15">
      <c r="Z758" s="1354"/>
      <c r="AA758" s="1354"/>
      <c r="AB758" s="1354"/>
      <c r="AC758" s="1354"/>
      <c r="AD758" s="1354"/>
      <c r="AE758" s="1354"/>
      <c r="AF758" s="1354"/>
    </row>
    <row r="759" spans="26:32" x14ac:dyDescent="0.15">
      <c r="Z759" s="1354"/>
      <c r="AA759" s="1354"/>
      <c r="AB759" s="1354"/>
      <c r="AC759" s="1354"/>
      <c r="AD759" s="1354"/>
      <c r="AE759" s="1354"/>
      <c r="AF759" s="1354"/>
    </row>
    <row r="760" spans="26:32" x14ac:dyDescent="0.15">
      <c r="Z760" s="1354"/>
      <c r="AA760" s="1354"/>
      <c r="AB760" s="1354"/>
      <c r="AC760" s="1354"/>
      <c r="AD760" s="1354"/>
      <c r="AE760" s="1354"/>
      <c r="AF760" s="1354"/>
    </row>
    <row r="761" spans="26:32" x14ac:dyDescent="0.15">
      <c r="Z761" s="1354"/>
      <c r="AA761" s="1354"/>
      <c r="AB761" s="1354"/>
      <c r="AC761" s="1354"/>
      <c r="AD761" s="1354"/>
      <c r="AE761" s="1354"/>
      <c r="AF761" s="1354"/>
    </row>
    <row r="762" spans="26:32" x14ac:dyDescent="0.15">
      <c r="Z762" s="1354"/>
      <c r="AA762" s="1354"/>
      <c r="AB762" s="1354"/>
      <c r="AC762" s="1354"/>
      <c r="AD762" s="1354"/>
      <c r="AE762" s="1354"/>
      <c r="AF762" s="1354"/>
    </row>
    <row r="763" spans="26:32" x14ac:dyDescent="0.15">
      <c r="Z763" s="1354"/>
      <c r="AA763" s="1354"/>
      <c r="AB763" s="1354"/>
      <c r="AC763" s="1354"/>
      <c r="AD763" s="1354"/>
      <c r="AE763" s="1354"/>
      <c r="AF763" s="1354"/>
    </row>
    <row r="764" spans="26:32" x14ac:dyDescent="0.15">
      <c r="Z764" s="1354"/>
      <c r="AA764" s="1354"/>
      <c r="AB764" s="1354"/>
      <c r="AC764" s="1354"/>
      <c r="AD764" s="1354"/>
      <c r="AE764" s="1354"/>
      <c r="AF764" s="1354"/>
    </row>
    <row r="765" spans="26:32" x14ac:dyDescent="0.15">
      <c r="Z765" s="1354"/>
      <c r="AA765" s="1354"/>
      <c r="AB765" s="1354"/>
      <c r="AC765" s="1354"/>
      <c r="AD765" s="1354"/>
      <c r="AE765" s="1354"/>
      <c r="AF765" s="1354"/>
    </row>
    <row r="766" spans="26:32" x14ac:dyDescent="0.15">
      <c r="Z766" s="1354"/>
      <c r="AA766" s="1354"/>
      <c r="AB766" s="1354"/>
      <c r="AC766" s="1354"/>
      <c r="AD766" s="1354"/>
      <c r="AE766" s="1354"/>
      <c r="AF766" s="1354"/>
    </row>
    <row r="767" spans="26:32" x14ac:dyDescent="0.15">
      <c r="Z767" s="1354"/>
      <c r="AA767" s="1354"/>
      <c r="AB767" s="1354"/>
      <c r="AC767" s="1354"/>
      <c r="AD767" s="1354"/>
      <c r="AE767" s="1354"/>
      <c r="AF767" s="1354"/>
    </row>
    <row r="768" spans="26:32" x14ac:dyDescent="0.15">
      <c r="Z768" s="1354"/>
      <c r="AA768" s="1354"/>
      <c r="AB768" s="1354"/>
      <c r="AC768" s="1354"/>
      <c r="AD768" s="1354"/>
      <c r="AE768" s="1354"/>
      <c r="AF768" s="1354"/>
    </row>
    <row r="769" spans="26:32" x14ac:dyDescent="0.15">
      <c r="Z769" s="1354"/>
      <c r="AA769" s="1354"/>
      <c r="AB769" s="1354"/>
      <c r="AC769" s="1354"/>
      <c r="AD769" s="1354"/>
      <c r="AE769" s="1354"/>
      <c r="AF769" s="1354"/>
    </row>
    <row r="770" spans="26:32" x14ac:dyDescent="0.15">
      <c r="Z770" s="1354"/>
      <c r="AA770" s="1354"/>
      <c r="AB770" s="1354"/>
      <c r="AC770" s="1354"/>
      <c r="AD770" s="1354"/>
      <c r="AE770" s="1354"/>
      <c r="AF770" s="1354"/>
    </row>
    <row r="771" spans="26:32" x14ac:dyDescent="0.15">
      <c r="Z771" s="1354"/>
      <c r="AA771" s="1354"/>
      <c r="AB771" s="1354"/>
      <c r="AC771" s="1354"/>
      <c r="AD771" s="1354"/>
      <c r="AE771" s="1354"/>
      <c r="AF771" s="1354"/>
    </row>
    <row r="772" spans="26:32" x14ac:dyDescent="0.15">
      <c r="Z772" s="1354"/>
      <c r="AA772" s="1354"/>
      <c r="AB772" s="1354"/>
      <c r="AC772" s="1354"/>
      <c r="AD772" s="1354"/>
      <c r="AE772" s="1354"/>
      <c r="AF772" s="1354"/>
    </row>
    <row r="773" spans="26:32" x14ac:dyDescent="0.15">
      <c r="Z773" s="1354"/>
      <c r="AA773" s="1361"/>
      <c r="AB773" s="1361"/>
      <c r="AC773" s="1361"/>
      <c r="AD773" s="1361"/>
      <c r="AE773" s="1361"/>
      <c r="AF773" s="1361"/>
    </row>
    <row r="774" spans="26:32" x14ac:dyDescent="0.15">
      <c r="Z774" s="1354"/>
      <c r="AA774" s="1354"/>
      <c r="AB774" s="1354"/>
      <c r="AC774" s="1354"/>
      <c r="AD774" s="1354"/>
      <c r="AE774" s="1354"/>
      <c r="AF774" s="1354"/>
    </row>
    <row r="775" spans="26:32" x14ac:dyDescent="0.15">
      <c r="Z775" s="1354"/>
      <c r="AA775" s="1354"/>
      <c r="AB775" s="1354"/>
      <c r="AC775" s="1354"/>
      <c r="AD775" s="1354"/>
      <c r="AE775" s="1354"/>
      <c r="AF775" s="1354"/>
    </row>
    <row r="776" spans="26:32" x14ac:dyDescent="0.15">
      <c r="Z776" s="1354"/>
      <c r="AA776" s="1354"/>
      <c r="AB776" s="1354"/>
      <c r="AC776" s="1354"/>
      <c r="AD776" s="1354"/>
      <c r="AE776" s="1354"/>
      <c r="AF776" s="1354"/>
    </row>
    <row r="777" spans="26:32" x14ac:dyDescent="0.15">
      <c r="Z777" s="1354"/>
      <c r="AA777" s="1354"/>
      <c r="AB777" s="1354"/>
      <c r="AC777" s="1354"/>
      <c r="AD777" s="1354"/>
      <c r="AE777" s="1354"/>
      <c r="AF777" s="1354"/>
    </row>
    <row r="778" spans="26:32" x14ac:dyDescent="0.15">
      <c r="Z778" s="1354"/>
      <c r="AA778" s="1354"/>
      <c r="AB778" s="1354"/>
      <c r="AC778" s="1354"/>
      <c r="AD778" s="1354"/>
      <c r="AE778" s="1354"/>
      <c r="AF778" s="1354"/>
    </row>
    <row r="779" spans="26:32" x14ac:dyDescent="0.15">
      <c r="Z779" s="1354"/>
      <c r="AA779" s="1354"/>
      <c r="AB779" s="1354"/>
      <c r="AC779" s="1354"/>
      <c r="AD779" s="1354"/>
      <c r="AE779" s="1354"/>
      <c r="AF779" s="1354"/>
    </row>
    <row r="780" spans="26:32" x14ac:dyDescent="0.15">
      <c r="Z780" s="1354"/>
      <c r="AA780" s="1354"/>
      <c r="AB780" s="1354"/>
      <c r="AC780" s="1354"/>
      <c r="AD780" s="1354"/>
      <c r="AE780" s="1354"/>
      <c r="AF780" s="1354"/>
    </row>
    <row r="781" spans="26:32" x14ac:dyDescent="0.15">
      <c r="Z781" s="1354"/>
      <c r="AA781" s="1354"/>
      <c r="AB781" s="1354"/>
      <c r="AC781" s="1354"/>
      <c r="AD781" s="1354"/>
      <c r="AE781" s="1354"/>
      <c r="AF781" s="1354"/>
    </row>
    <row r="782" spans="26:32" x14ac:dyDescent="0.15">
      <c r="Z782" s="1354"/>
      <c r="AA782" s="1354"/>
      <c r="AB782" s="1354"/>
      <c r="AC782" s="1354"/>
      <c r="AD782" s="1354"/>
      <c r="AE782" s="1354"/>
      <c r="AF782" s="1354"/>
    </row>
    <row r="783" spans="26:32" x14ac:dyDescent="0.15">
      <c r="Z783" s="1354"/>
      <c r="AA783" s="1354"/>
      <c r="AB783" s="1354"/>
      <c r="AC783" s="1354"/>
      <c r="AD783" s="1354"/>
      <c r="AE783" s="1354"/>
      <c r="AF783" s="1354"/>
    </row>
    <row r="784" spans="26:32" x14ac:dyDescent="0.15">
      <c r="Z784" s="1354"/>
      <c r="AA784" s="1354"/>
      <c r="AB784" s="1354"/>
      <c r="AC784" s="1354"/>
      <c r="AD784" s="1354"/>
      <c r="AE784" s="1354"/>
      <c r="AF784" s="1354"/>
    </row>
    <row r="785" spans="26:32" x14ac:dyDescent="0.15">
      <c r="Z785" s="1354"/>
      <c r="AA785" s="1354"/>
      <c r="AB785" s="1354"/>
      <c r="AC785" s="1354"/>
      <c r="AD785" s="1354"/>
      <c r="AE785" s="1354"/>
      <c r="AF785" s="1354"/>
    </row>
    <row r="786" spans="26:32" x14ac:dyDescent="0.15">
      <c r="Z786" s="1354"/>
      <c r="AA786" s="1354"/>
      <c r="AB786" s="1354"/>
      <c r="AC786" s="1354"/>
      <c r="AD786" s="1354"/>
      <c r="AE786" s="1354"/>
      <c r="AF786" s="1354"/>
    </row>
    <row r="787" spans="26:32" x14ac:dyDescent="0.15">
      <c r="Z787" s="1354"/>
      <c r="AA787" s="1354"/>
      <c r="AB787" s="1354"/>
      <c r="AC787" s="1354"/>
      <c r="AD787" s="1354"/>
      <c r="AE787" s="1354"/>
      <c r="AF787" s="1354"/>
    </row>
    <row r="788" spans="26:32" x14ac:dyDescent="0.15">
      <c r="Z788" s="1354"/>
      <c r="AA788" s="1354"/>
      <c r="AB788" s="1354"/>
      <c r="AC788" s="1354"/>
      <c r="AD788" s="1354"/>
      <c r="AE788" s="1354"/>
      <c r="AF788" s="1354"/>
    </row>
    <row r="789" spans="26:32" x14ac:dyDescent="0.15">
      <c r="Z789" s="1354"/>
      <c r="AA789" s="1354"/>
      <c r="AB789" s="1354"/>
      <c r="AC789" s="1354"/>
      <c r="AD789" s="1354"/>
      <c r="AE789" s="1354"/>
      <c r="AF789" s="1354"/>
    </row>
    <row r="790" spans="26:32" x14ac:dyDescent="0.15">
      <c r="Z790" s="1354"/>
      <c r="AA790" s="1354"/>
      <c r="AB790" s="1354"/>
      <c r="AC790" s="1354"/>
      <c r="AD790" s="1354"/>
      <c r="AE790" s="1354"/>
      <c r="AF790" s="1354"/>
    </row>
    <row r="791" spans="26:32" x14ac:dyDescent="0.15">
      <c r="Z791" s="1354"/>
      <c r="AA791" s="1354"/>
      <c r="AB791" s="1354"/>
      <c r="AC791" s="1354"/>
      <c r="AD791" s="1354"/>
      <c r="AE791" s="1354"/>
      <c r="AF791" s="1354"/>
    </row>
    <row r="792" spans="26:32" x14ac:dyDescent="0.15">
      <c r="Z792" s="1354"/>
      <c r="AA792" s="1354"/>
      <c r="AB792" s="1354"/>
      <c r="AC792" s="1354"/>
      <c r="AD792" s="1354"/>
      <c r="AE792" s="1354"/>
      <c r="AF792" s="1354"/>
    </row>
    <row r="793" spans="26:32" x14ac:dyDescent="0.15">
      <c r="Z793" s="1354"/>
      <c r="AA793" s="1354"/>
      <c r="AB793" s="1354"/>
      <c r="AC793" s="1354"/>
      <c r="AD793" s="1354"/>
      <c r="AE793" s="1354"/>
      <c r="AF793" s="1354"/>
    </row>
    <row r="794" spans="26:32" x14ac:dyDescent="0.15">
      <c r="Z794" s="1354"/>
      <c r="AA794" s="1354"/>
      <c r="AB794" s="1354"/>
      <c r="AC794" s="1354"/>
      <c r="AD794" s="1354"/>
      <c r="AE794" s="1354"/>
      <c r="AF794" s="1354"/>
    </row>
    <row r="795" spans="26:32" x14ac:dyDescent="0.15">
      <c r="Z795" s="1354"/>
      <c r="AA795" s="1354"/>
      <c r="AB795" s="1354"/>
      <c r="AC795" s="1354"/>
      <c r="AD795" s="1354"/>
      <c r="AE795" s="1354"/>
      <c r="AF795" s="1354"/>
    </row>
    <row r="796" spans="26:32" x14ac:dyDescent="0.15">
      <c r="Z796" s="1354"/>
      <c r="AA796" s="1354"/>
      <c r="AB796" s="1354"/>
      <c r="AC796" s="1354"/>
      <c r="AD796" s="1354"/>
      <c r="AE796" s="1354"/>
      <c r="AF796" s="1354"/>
    </row>
    <row r="797" spans="26:32" x14ac:dyDescent="0.15">
      <c r="Z797" s="1354"/>
      <c r="AA797" s="1354"/>
      <c r="AB797" s="1354"/>
      <c r="AC797" s="1354"/>
      <c r="AD797" s="1354"/>
      <c r="AE797" s="1354"/>
      <c r="AF797" s="1354"/>
    </row>
    <row r="798" spans="26:32" x14ac:dyDescent="0.15">
      <c r="Z798" s="1354"/>
      <c r="AA798" s="1354"/>
      <c r="AB798" s="1354"/>
      <c r="AC798" s="1354"/>
      <c r="AD798" s="1354"/>
      <c r="AE798" s="1354"/>
      <c r="AF798" s="1354"/>
    </row>
    <row r="799" spans="26:32" x14ac:dyDescent="0.15">
      <c r="Z799" s="1354"/>
      <c r="AA799" s="1354"/>
      <c r="AB799" s="1354"/>
      <c r="AC799" s="1354"/>
      <c r="AD799" s="1354"/>
      <c r="AE799" s="1354"/>
      <c r="AF799" s="1354"/>
    </row>
    <row r="800" spans="26:32" x14ac:dyDescent="0.15">
      <c r="Z800" s="1354"/>
      <c r="AA800" s="1354"/>
      <c r="AB800" s="1354"/>
      <c r="AC800" s="1354"/>
      <c r="AD800" s="1354"/>
      <c r="AE800" s="1354"/>
      <c r="AF800" s="1354"/>
    </row>
    <row r="801" spans="26:32" x14ac:dyDescent="0.15">
      <c r="Z801" s="1354"/>
      <c r="AA801" s="1354"/>
      <c r="AB801" s="1354"/>
      <c r="AC801" s="1354"/>
      <c r="AD801" s="1354"/>
      <c r="AE801" s="1354"/>
      <c r="AF801" s="1354"/>
    </row>
    <row r="802" spans="26:32" x14ac:dyDescent="0.15">
      <c r="Z802" s="1354"/>
      <c r="AA802" s="1354"/>
      <c r="AB802" s="1354"/>
      <c r="AC802" s="1354"/>
      <c r="AD802" s="1354"/>
      <c r="AE802" s="1354"/>
      <c r="AF802" s="1354"/>
    </row>
    <row r="803" spans="26:32" x14ac:dyDescent="0.15">
      <c r="Z803" s="1354"/>
      <c r="AA803" s="1354"/>
      <c r="AB803" s="1354"/>
      <c r="AC803" s="1354"/>
      <c r="AD803" s="1354"/>
      <c r="AE803" s="1354"/>
      <c r="AF803" s="1354"/>
    </row>
    <row r="804" spans="26:32" x14ac:dyDescent="0.15">
      <c r="Z804" s="1354"/>
      <c r="AA804" s="1354"/>
      <c r="AB804" s="1354"/>
      <c r="AC804" s="1354"/>
      <c r="AD804" s="1354"/>
      <c r="AE804" s="1354"/>
      <c r="AF804" s="1354"/>
    </row>
    <row r="805" spans="26:32" x14ac:dyDescent="0.15">
      <c r="Z805" s="1354"/>
      <c r="AA805" s="1354"/>
      <c r="AB805" s="1354"/>
      <c r="AC805" s="1354"/>
      <c r="AD805" s="1354"/>
      <c r="AE805" s="1354"/>
      <c r="AF805" s="1354"/>
    </row>
    <row r="806" spans="26:32" x14ac:dyDescent="0.15">
      <c r="Z806" s="1354"/>
      <c r="AA806" s="1354"/>
      <c r="AB806" s="1354"/>
      <c r="AC806" s="1354"/>
      <c r="AD806" s="1354"/>
      <c r="AE806" s="1354"/>
      <c r="AF806" s="1354"/>
    </row>
    <row r="807" spans="26:32" x14ac:dyDescent="0.15">
      <c r="Z807" s="1354"/>
      <c r="AA807" s="1354"/>
      <c r="AB807" s="1354"/>
      <c r="AC807" s="1354"/>
      <c r="AD807" s="1354"/>
      <c r="AE807" s="1354"/>
      <c r="AF807" s="1354"/>
    </row>
    <row r="808" spans="26:32" x14ac:dyDescent="0.15">
      <c r="Z808" s="1354"/>
      <c r="AA808" s="1354"/>
      <c r="AB808" s="1354"/>
      <c r="AC808" s="1354"/>
      <c r="AD808" s="1354"/>
      <c r="AE808" s="1354"/>
      <c r="AF808" s="1354"/>
    </row>
    <row r="809" spans="26:32" x14ac:dyDescent="0.15">
      <c r="Z809" s="1354"/>
      <c r="AA809" s="1354"/>
      <c r="AB809" s="1354"/>
      <c r="AC809" s="1354"/>
      <c r="AD809" s="1354"/>
      <c r="AE809" s="1354"/>
      <c r="AF809" s="1354"/>
    </row>
    <row r="810" spans="26:32" x14ac:dyDescent="0.15">
      <c r="Z810" s="1354"/>
      <c r="AA810" s="1354"/>
      <c r="AB810" s="1354"/>
      <c r="AC810" s="1354"/>
      <c r="AD810" s="1354"/>
      <c r="AE810" s="1354"/>
      <c r="AF810" s="1354"/>
    </row>
    <row r="811" spans="26:32" x14ac:dyDescent="0.15">
      <c r="Z811" s="1354"/>
      <c r="AA811" s="1354"/>
      <c r="AB811" s="1354"/>
      <c r="AC811" s="1354"/>
      <c r="AD811" s="1354"/>
      <c r="AE811" s="1354"/>
      <c r="AF811" s="1354"/>
    </row>
    <row r="812" spans="26:32" x14ac:dyDescent="0.15">
      <c r="Z812" s="1354"/>
      <c r="AA812" s="1354"/>
      <c r="AB812" s="1354"/>
      <c r="AC812" s="1354"/>
      <c r="AD812" s="1354"/>
      <c r="AE812" s="1354"/>
      <c r="AF812" s="1354"/>
    </row>
    <row r="813" spans="26:32" x14ac:dyDescent="0.15">
      <c r="Z813" s="1354"/>
      <c r="AA813" s="1354"/>
      <c r="AB813" s="1354"/>
      <c r="AC813" s="1354"/>
      <c r="AD813" s="1354"/>
      <c r="AE813" s="1354"/>
      <c r="AF813" s="1354"/>
    </row>
    <row r="814" spans="26:32" x14ac:dyDescent="0.15">
      <c r="Z814" s="1354"/>
      <c r="AA814" s="1354"/>
      <c r="AB814" s="1354"/>
      <c r="AC814" s="1354"/>
      <c r="AD814" s="1354"/>
      <c r="AE814" s="1354"/>
      <c r="AF814" s="1354"/>
    </row>
    <row r="815" spans="26:32" x14ac:dyDescent="0.15">
      <c r="Z815" s="1354"/>
      <c r="AA815" s="1354"/>
      <c r="AB815" s="1354"/>
      <c r="AC815" s="1354"/>
      <c r="AD815" s="1354"/>
      <c r="AE815" s="1354"/>
      <c r="AF815" s="1354"/>
    </row>
    <row r="816" spans="26:32" x14ac:dyDescent="0.15">
      <c r="Z816" s="1354"/>
      <c r="AA816" s="1354"/>
      <c r="AB816" s="1354"/>
      <c r="AC816" s="1354"/>
      <c r="AD816" s="1354"/>
      <c r="AE816" s="1354"/>
      <c r="AF816" s="1354"/>
    </row>
    <row r="817" spans="26:32" x14ac:dyDescent="0.15">
      <c r="Z817" s="1354"/>
      <c r="AA817" s="1354"/>
      <c r="AB817" s="1354"/>
      <c r="AC817" s="1354"/>
      <c r="AD817" s="1354"/>
      <c r="AE817" s="1354"/>
      <c r="AF817" s="1354"/>
    </row>
    <row r="818" spans="26:32" x14ac:dyDescent="0.15">
      <c r="Z818" s="1354"/>
      <c r="AA818" s="1354"/>
      <c r="AB818" s="1354"/>
      <c r="AC818" s="1354"/>
      <c r="AD818" s="1354"/>
      <c r="AE818" s="1354"/>
      <c r="AF818" s="1354"/>
    </row>
    <row r="819" spans="26:32" x14ac:dyDescent="0.15">
      <c r="Z819" s="1354"/>
      <c r="AA819" s="1354"/>
      <c r="AB819" s="1354"/>
      <c r="AC819" s="1354"/>
      <c r="AD819" s="1354"/>
      <c r="AE819" s="1354"/>
      <c r="AF819" s="1354"/>
    </row>
    <row r="820" spans="26:32" x14ac:dyDescent="0.15">
      <c r="Z820" s="1354"/>
      <c r="AA820" s="1354"/>
      <c r="AB820" s="1354"/>
      <c r="AC820" s="1354"/>
      <c r="AD820" s="1354"/>
      <c r="AE820" s="1354"/>
      <c r="AF820" s="1354"/>
    </row>
    <row r="821" spans="26:32" x14ac:dyDescent="0.15">
      <c r="Z821" s="1354"/>
      <c r="AA821" s="1354"/>
      <c r="AB821" s="1354"/>
      <c r="AC821" s="1354"/>
      <c r="AD821" s="1354"/>
      <c r="AE821" s="1354"/>
      <c r="AF821" s="1354"/>
    </row>
    <row r="822" spans="26:32" x14ac:dyDescent="0.15">
      <c r="Z822" s="1354"/>
      <c r="AA822" s="1354"/>
      <c r="AB822" s="1354"/>
      <c r="AC822" s="1354"/>
      <c r="AD822" s="1354"/>
      <c r="AE822" s="1354"/>
      <c r="AF822" s="1354"/>
    </row>
    <row r="823" spans="26:32" x14ac:dyDescent="0.15">
      <c r="Z823" s="1354"/>
      <c r="AA823" s="1354"/>
      <c r="AB823" s="1354"/>
      <c r="AC823" s="1354"/>
      <c r="AD823" s="1354"/>
      <c r="AE823" s="1354"/>
      <c r="AF823" s="1354"/>
    </row>
    <row r="824" spans="26:32" x14ac:dyDescent="0.15">
      <c r="Z824" s="1354"/>
      <c r="AA824" s="1354"/>
      <c r="AB824" s="1354"/>
      <c r="AC824" s="1354"/>
      <c r="AD824" s="1354"/>
      <c r="AE824" s="1354"/>
      <c r="AF824" s="1354"/>
    </row>
    <row r="825" spans="26:32" x14ac:dyDescent="0.15">
      <c r="Z825" s="1354"/>
      <c r="AA825" s="1354"/>
      <c r="AB825" s="1354"/>
      <c r="AC825" s="1354"/>
      <c r="AD825" s="1354"/>
      <c r="AE825" s="1354"/>
      <c r="AF825" s="1354"/>
    </row>
    <row r="826" spans="26:32" x14ac:dyDescent="0.15">
      <c r="Z826" s="1354"/>
      <c r="AA826" s="1354"/>
      <c r="AB826" s="1354"/>
      <c r="AC826" s="1354"/>
      <c r="AD826" s="1354"/>
      <c r="AE826" s="1354"/>
      <c r="AF826" s="1354"/>
    </row>
    <row r="827" spans="26:32" x14ac:dyDescent="0.15">
      <c r="Z827" s="1354"/>
      <c r="AA827" s="1354"/>
      <c r="AB827" s="1354"/>
      <c r="AC827" s="1354"/>
      <c r="AD827" s="1354"/>
      <c r="AE827" s="1354"/>
      <c r="AF827" s="1354"/>
    </row>
    <row r="828" spans="26:32" x14ac:dyDescent="0.15">
      <c r="Z828" s="1354"/>
      <c r="AA828" s="1354"/>
      <c r="AB828" s="1354"/>
      <c r="AC828" s="1354"/>
      <c r="AD828" s="1354"/>
      <c r="AE828" s="1354"/>
      <c r="AF828" s="1354"/>
    </row>
    <row r="829" spans="26:32" x14ac:dyDescent="0.15">
      <c r="Z829" s="1354"/>
      <c r="AA829" s="1354"/>
      <c r="AB829" s="1354"/>
      <c r="AC829" s="1354"/>
      <c r="AD829" s="1354"/>
      <c r="AE829" s="1354"/>
      <c r="AF829" s="1354"/>
    </row>
    <row r="830" spans="26:32" x14ac:dyDescent="0.15">
      <c r="Z830" s="1354"/>
      <c r="AA830" s="1354"/>
      <c r="AB830" s="1354"/>
      <c r="AC830" s="1354"/>
      <c r="AD830" s="1354"/>
      <c r="AE830" s="1354"/>
      <c r="AF830" s="1354"/>
    </row>
    <row r="831" spans="26:32" x14ac:dyDescent="0.15">
      <c r="Z831" s="1354"/>
      <c r="AA831" s="1354"/>
      <c r="AB831" s="1354"/>
      <c r="AC831" s="1354"/>
      <c r="AD831" s="1354"/>
      <c r="AE831" s="1354"/>
      <c r="AF831" s="1354"/>
    </row>
    <row r="832" spans="26:32" x14ac:dyDescent="0.15">
      <c r="Z832" s="1354"/>
      <c r="AA832" s="1354"/>
      <c r="AB832" s="1354"/>
      <c r="AC832" s="1354"/>
      <c r="AD832" s="1354"/>
      <c r="AE832" s="1354"/>
      <c r="AF832" s="1354"/>
    </row>
    <row r="833" spans="26:32" x14ac:dyDescent="0.15">
      <c r="Z833" s="1354"/>
      <c r="AA833" s="1354"/>
      <c r="AB833" s="1354"/>
      <c r="AC833" s="1354"/>
      <c r="AD833" s="1354"/>
      <c r="AE833" s="1354"/>
      <c r="AF833" s="1354"/>
    </row>
    <row r="834" spans="26:32" x14ac:dyDescent="0.15">
      <c r="Z834" s="1354"/>
      <c r="AA834" s="1354"/>
      <c r="AB834" s="1354"/>
      <c r="AC834" s="1354"/>
      <c r="AD834" s="1354"/>
      <c r="AE834" s="1354"/>
      <c r="AF834" s="1354"/>
    </row>
    <row r="835" spans="26:32" x14ac:dyDescent="0.15">
      <c r="Z835" s="1354"/>
      <c r="AA835" s="1354"/>
      <c r="AB835" s="1354"/>
      <c r="AC835" s="1354"/>
      <c r="AD835" s="1354"/>
      <c r="AE835" s="1354"/>
      <c r="AF835" s="1354"/>
    </row>
    <row r="836" spans="26:32" x14ac:dyDescent="0.15">
      <c r="Z836" s="1354"/>
      <c r="AA836" s="1354"/>
      <c r="AB836" s="1354"/>
      <c r="AC836" s="1354"/>
      <c r="AD836" s="1354"/>
      <c r="AE836" s="1354"/>
      <c r="AF836" s="1354"/>
    </row>
    <row r="837" spans="26:32" x14ac:dyDescent="0.15">
      <c r="Z837" s="1354"/>
      <c r="AA837" s="1354"/>
      <c r="AB837" s="1354"/>
      <c r="AC837" s="1354"/>
      <c r="AD837" s="1354"/>
      <c r="AE837" s="1354"/>
      <c r="AF837" s="1354"/>
    </row>
    <row r="838" spans="26:32" x14ac:dyDescent="0.15">
      <c r="Z838" s="1354"/>
      <c r="AA838" s="1354"/>
      <c r="AB838" s="1354"/>
      <c r="AC838" s="1354"/>
      <c r="AD838" s="1354"/>
      <c r="AE838" s="1354"/>
      <c r="AF838" s="1354"/>
    </row>
    <row r="839" spans="26:32" x14ac:dyDescent="0.15">
      <c r="Z839" s="1354"/>
      <c r="AA839" s="1354"/>
      <c r="AB839" s="1354"/>
      <c r="AC839" s="1354"/>
      <c r="AD839" s="1354"/>
      <c r="AE839" s="1354"/>
      <c r="AF839" s="1354"/>
    </row>
    <row r="840" spans="26:32" x14ac:dyDescent="0.15">
      <c r="Z840" s="1354"/>
      <c r="AA840" s="1354"/>
      <c r="AB840" s="1354"/>
      <c r="AC840" s="1354"/>
      <c r="AD840" s="1354"/>
      <c r="AE840" s="1354"/>
      <c r="AF840" s="1354"/>
    </row>
    <row r="841" spans="26:32" x14ac:dyDescent="0.15">
      <c r="Z841" s="1354"/>
      <c r="AA841" s="1354"/>
      <c r="AB841" s="1354"/>
      <c r="AC841" s="1354"/>
      <c r="AD841" s="1354"/>
      <c r="AE841" s="1354"/>
      <c r="AF841" s="1354"/>
    </row>
    <row r="842" spans="26:32" x14ac:dyDescent="0.15">
      <c r="Z842" s="1354"/>
      <c r="AA842" s="1354"/>
      <c r="AB842" s="1354"/>
      <c r="AC842" s="1354"/>
      <c r="AD842" s="1354"/>
      <c r="AE842" s="1354"/>
      <c r="AF842" s="1354"/>
    </row>
    <row r="843" spans="26:32" x14ac:dyDescent="0.15">
      <c r="Z843" s="1354"/>
      <c r="AA843" s="1354"/>
      <c r="AB843" s="1354"/>
      <c r="AC843" s="1354"/>
      <c r="AD843" s="1354"/>
      <c r="AE843" s="1354"/>
      <c r="AF843" s="1354"/>
    </row>
    <row r="844" spans="26:32" x14ac:dyDescent="0.15">
      <c r="Z844" s="1354"/>
      <c r="AA844" s="1354"/>
      <c r="AB844" s="1354"/>
      <c r="AC844" s="1354"/>
      <c r="AD844" s="1354"/>
      <c r="AE844" s="1354"/>
      <c r="AF844" s="1354"/>
    </row>
    <row r="845" spans="26:32" x14ac:dyDescent="0.15">
      <c r="Z845" s="1354"/>
      <c r="AA845" s="1354"/>
      <c r="AB845" s="1354"/>
      <c r="AC845" s="1354"/>
      <c r="AD845" s="1354"/>
      <c r="AE845" s="1354"/>
      <c r="AF845" s="1354"/>
    </row>
    <row r="846" spans="26:32" x14ac:dyDescent="0.15">
      <c r="Z846" s="1354"/>
      <c r="AA846" s="1354"/>
      <c r="AB846" s="1354"/>
      <c r="AC846" s="1354"/>
      <c r="AD846" s="1354"/>
      <c r="AE846" s="1354"/>
      <c r="AF846" s="1354"/>
    </row>
    <row r="847" spans="26:32" x14ac:dyDescent="0.15">
      <c r="Z847" s="1354"/>
      <c r="AA847" s="1354"/>
      <c r="AB847" s="1354"/>
      <c r="AC847" s="1354"/>
      <c r="AD847" s="1354"/>
      <c r="AE847" s="1354"/>
      <c r="AF847" s="1354"/>
    </row>
    <row r="848" spans="26:32" x14ac:dyDescent="0.15">
      <c r="Z848" s="1354"/>
      <c r="AA848" s="1354"/>
      <c r="AB848" s="1354"/>
      <c r="AC848" s="1354"/>
      <c r="AD848" s="1354"/>
      <c r="AE848" s="1354"/>
      <c r="AF848" s="1354"/>
    </row>
    <row r="849" spans="26:32" x14ac:dyDescent="0.15">
      <c r="Z849" s="1354"/>
      <c r="AA849" s="1354"/>
      <c r="AB849" s="1354"/>
      <c r="AC849" s="1354"/>
      <c r="AD849" s="1354"/>
      <c r="AE849" s="1354"/>
      <c r="AF849" s="1354"/>
    </row>
    <row r="850" spans="26:32" x14ac:dyDescent="0.15">
      <c r="Z850" s="1354"/>
      <c r="AA850" s="1354"/>
      <c r="AB850" s="1354"/>
      <c r="AC850" s="1354"/>
      <c r="AD850" s="1354"/>
      <c r="AE850" s="1354"/>
      <c r="AF850" s="1354"/>
    </row>
    <row r="851" spans="26:32" x14ac:dyDescent="0.15">
      <c r="Z851" s="1354"/>
      <c r="AA851" s="1354"/>
      <c r="AB851" s="1354"/>
      <c r="AC851" s="1354"/>
      <c r="AD851" s="1354"/>
      <c r="AE851" s="1354"/>
      <c r="AF851" s="1354"/>
    </row>
    <row r="852" spans="26:32" x14ac:dyDescent="0.15">
      <c r="Z852" s="1354"/>
      <c r="AA852" s="1354"/>
      <c r="AB852" s="1354"/>
      <c r="AC852" s="1354"/>
      <c r="AD852" s="1354"/>
      <c r="AE852" s="1354"/>
      <c r="AF852" s="1354"/>
    </row>
    <row r="853" spans="26:32" x14ac:dyDescent="0.15">
      <c r="Z853" s="1354"/>
      <c r="AA853" s="1354"/>
      <c r="AB853" s="1354"/>
      <c r="AC853" s="1354"/>
      <c r="AD853" s="1354"/>
      <c r="AE853" s="1354"/>
      <c r="AF853" s="1354"/>
    </row>
    <row r="854" spans="26:32" x14ac:dyDescent="0.15">
      <c r="Z854" s="1354"/>
      <c r="AA854" s="1354"/>
      <c r="AB854" s="1354"/>
      <c r="AC854" s="1354"/>
      <c r="AD854" s="1354"/>
      <c r="AE854" s="1354"/>
      <c r="AF854" s="1354"/>
    </row>
    <row r="855" spans="26:32" x14ac:dyDescent="0.15">
      <c r="Z855" s="1354"/>
      <c r="AA855" s="1354"/>
      <c r="AB855" s="1354"/>
      <c r="AC855" s="1354"/>
      <c r="AD855" s="1354"/>
      <c r="AE855" s="1354"/>
      <c r="AF855" s="1354"/>
    </row>
    <row r="856" spans="26:32" x14ac:dyDescent="0.15">
      <c r="Z856" s="1354"/>
      <c r="AA856" s="1354"/>
      <c r="AB856" s="1354"/>
      <c r="AC856" s="1354"/>
      <c r="AD856" s="1354"/>
      <c r="AE856" s="1354"/>
      <c r="AF856" s="1354"/>
    </row>
    <row r="857" spans="26:32" x14ac:dyDescent="0.15">
      <c r="Z857" s="1354"/>
      <c r="AA857" s="1354"/>
      <c r="AB857" s="1354"/>
      <c r="AC857" s="1354"/>
      <c r="AD857" s="1354"/>
      <c r="AE857" s="1354"/>
      <c r="AF857" s="1354"/>
    </row>
    <row r="858" spans="26:32" x14ac:dyDescent="0.15">
      <c r="Z858" s="1354"/>
      <c r="AA858" s="1354"/>
      <c r="AB858" s="1354"/>
      <c r="AC858" s="1354"/>
      <c r="AD858" s="1354"/>
      <c r="AE858" s="1354"/>
      <c r="AF858" s="1354"/>
    </row>
    <row r="859" spans="26:32" x14ac:dyDescent="0.15">
      <c r="Z859" s="1354"/>
      <c r="AA859" s="1354"/>
      <c r="AB859" s="1354"/>
      <c r="AC859" s="1354"/>
      <c r="AD859" s="1354"/>
      <c r="AE859" s="1354"/>
      <c r="AF859" s="1354"/>
    </row>
    <row r="860" spans="26:32" x14ac:dyDescent="0.15">
      <c r="Z860" s="1354"/>
      <c r="AA860" s="1354"/>
      <c r="AB860" s="1354"/>
      <c r="AC860" s="1354"/>
      <c r="AD860" s="1354"/>
      <c r="AE860" s="1354"/>
      <c r="AF860" s="1354"/>
    </row>
    <row r="861" spans="26:32" x14ac:dyDescent="0.15">
      <c r="Z861" s="1354"/>
      <c r="AA861" s="1354"/>
      <c r="AB861" s="1354"/>
      <c r="AC861" s="1354"/>
      <c r="AD861" s="1354"/>
      <c r="AE861" s="1354"/>
      <c r="AF861" s="1354"/>
    </row>
    <row r="862" spans="26:32" x14ac:dyDescent="0.15">
      <c r="Z862" s="1354"/>
      <c r="AA862" s="1354"/>
      <c r="AB862" s="1354"/>
      <c r="AC862" s="1354"/>
      <c r="AD862" s="1354"/>
      <c r="AE862" s="1354"/>
      <c r="AF862" s="1354"/>
    </row>
    <row r="863" spans="26:32" x14ac:dyDescent="0.15">
      <c r="Z863" s="1354"/>
      <c r="AA863" s="1361"/>
      <c r="AB863" s="1361"/>
      <c r="AC863" s="1361"/>
      <c r="AD863" s="1361"/>
      <c r="AE863" s="1361"/>
      <c r="AF863" s="1361"/>
    </row>
    <row r="864" spans="26:32" x14ac:dyDescent="0.15">
      <c r="Z864" s="1354"/>
      <c r="AA864" s="1354"/>
      <c r="AB864" s="1354"/>
      <c r="AC864" s="1354"/>
      <c r="AD864" s="1354"/>
      <c r="AE864" s="1354"/>
      <c r="AF864" s="1354"/>
    </row>
    <row r="865" spans="26:32" x14ac:dyDescent="0.15">
      <c r="Z865" s="1354"/>
      <c r="AA865" s="1354"/>
      <c r="AB865" s="1354"/>
      <c r="AC865" s="1354"/>
      <c r="AD865" s="1354"/>
      <c r="AE865" s="1354"/>
      <c r="AF865" s="1354"/>
    </row>
    <row r="866" spans="26:32" x14ac:dyDescent="0.15">
      <c r="Z866" s="1354"/>
      <c r="AA866" s="1354"/>
      <c r="AB866" s="1354"/>
      <c r="AC866" s="1354"/>
      <c r="AD866" s="1354"/>
      <c r="AE866" s="1354"/>
      <c r="AF866" s="1354"/>
    </row>
    <row r="867" spans="26:32" x14ac:dyDescent="0.15">
      <c r="Z867" s="1354"/>
      <c r="AA867" s="1354"/>
      <c r="AB867" s="1354"/>
      <c r="AC867" s="1354"/>
      <c r="AD867" s="1354"/>
      <c r="AE867" s="1354"/>
      <c r="AF867" s="1354"/>
    </row>
    <row r="868" spans="26:32" x14ac:dyDescent="0.15">
      <c r="Z868" s="1354"/>
      <c r="AA868" s="1354"/>
      <c r="AB868" s="1354"/>
      <c r="AC868" s="1354"/>
      <c r="AD868" s="1354"/>
      <c r="AE868" s="1354"/>
      <c r="AF868" s="1354"/>
    </row>
    <row r="869" spans="26:32" x14ac:dyDescent="0.15">
      <c r="Z869" s="1354"/>
      <c r="AA869" s="1354"/>
      <c r="AB869" s="1354"/>
      <c r="AC869" s="1354"/>
      <c r="AD869" s="1354"/>
      <c r="AE869" s="1354"/>
      <c r="AF869" s="1354"/>
    </row>
    <row r="870" spans="26:32" x14ac:dyDescent="0.15">
      <c r="Z870" s="1354"/>
      <c r="AA870" s="1354"/>
      <c r="AB870" s="1354"/>
      <c r="AC870" s="1354"/>
      <c r="AD870" s="1354"/>
      <c r="AE870" s="1354"/>
      <c r="AF870" s="1354"/>
    </row>
    <row r="871" spans="26:32" x14ac:dyDescent="0.15">
      <c r="Z871" s="1354"/>
      <c r="AA871" s="1354"/>
      <c r="AB871" s="1354"/>
      <c r="AC871" s="1354"/>
      <c r="AD871" s="1354"/>
      <c r="AE871" s="1354"/>
      <c r="AF871" s="1354"/>
    </row>
    <row r="872" spans="26:32" x14ac:dyDescent="0.15">
      <c r="Z872" s="1354"/>
      <c r="AA872" s="1354"/>
      <c r="AB872" s="1354"/>
      <c r="AC872" s="1354"/>
      <c r="AD872" s="1354"/>
      <c r="AE872" s="1354"/>
      <c r="AF872" s="1354"/>
    </row>
    <row r="873" spans="26:32" x14ac:dyDescent="0.15">
      <c r="Z873" s="1354"/>
      <c r="AA873" s="1354"/>
      <c r="AB873" s="1354"/>
      <c r="AC873" s="1354"/>
      <c r="AD873" s="1354"/>
      <c r="AE873" s="1354"/>
      <c r="AF873" s="1354"/>
    </row>
    <row r="874" spans="26:32" x14ac:dyDescent="0.15">
      <c r="Z874" s="1354"/>
      <c r="AA874" s="1354"/>
      <c r="AB874" s="1354"/>
      <c r="AC874" s="1354"/>
      <c r="AD874" s="1354"/>
      <c r="AE874" s="1354"/>
      <c r="AF874" s="1354"/>
    </row>
    <row r="875" spans="26:32" x14ac:dyDescent="0.15">
      <c r="Z875" s="1354"/>
      <c r="AA875" s="1354"/>
      <c r="AB875" s="1354"/>
      <c r="AC875" s="1354"/>
      <c r="AD875" s="1354"/>
      <c r="AE875" s="1354"/>
      <c r="AF875" s="1354"/>
    </row>
    <row r="876" spans="26:32" x14ac:dyDescent="0.15">
      <c r="Z876" s="1354"/>
      <c r="AA876" s="1354"/>
      <c r="AB876" s="1354"/>
      <c r="AC876" s="1354"/>
      <c r="AD876" s="1354"/>
      <c r="AE876" s="1354"/>
      <c r="AF876" s="1354"/>
    </row>
    <row r="877" spans="26:32" x14ac:dyDescent="0.15">
      <c r="Z877" s="1354"/>
      <c r="AA877" s="1354"/>
      <c r="AB877" s="1354"/>
      <c r="AC877" s="1354"/>
      <c r="AD877" s="1354"/>
      <c r="AE877" s="1354"/>
      <c r="AF877" s="1354"/>
    </row>
    <row r="878" spans="26:32" x14ac:dyDescent="0.15">
      <c r="Z878" s="1354"/>
      <c r="AA878" s="1354"/>
      <c r="AB878" s="1354"/>
      <c r="AC878" s="1354"/>
      <c r="AD878" s="1354"/>
      <c r="AE878" s="1354"/>
      <c r="AF878" s="1354"/>
    </row>
    <row r="879" spans="26:32" x14ac:dyDescent="0.15">
      <c r="Z879" s="1354"/>
      <c r="AA879" s="1354"/>
      <c r="AB879" s="1354"/>
      <c r="AC879" s="1354"/>
      <c r="AD879" s="1354"/>
      <c r="AE879" s="1354"/>
      <c r="AF879" s="1354"/>
    </row>
    <row r="880" spans="26:32" x14ac:dyDescent="0.15">
      <c r="Z880" s="1354"/>
      <c r="AA880" s="1354"/>
      <c r="AB880" s="1354"/>
      <c r="AC880" s="1354"/>
      <c r="AD880" s="1354"/>
      <c r="AE880" s="1354"/>
      <c r="AF880" s="1354"/>
    </row>
    <row r="881" spans="26:32" x14ac:dyDescent="0.15">
      <c r="Z881" s="1354"/>
      <c r="AA881" s="1354"/>
      <c r="AB881" s="1354"/>
      <c r="AC881" s="1354"/>
      <c r="AD881" s="1354"/>
      <c r="AE881" s="1354"/>
      <c r="AF881" s="1354"/>
    </row>
    <row r="882" spans="26:32" x14ac:dyDescent="0.15">
      <c r="Z882" s="1354"/>
      <c r="AA882" s="1354"/>
      <c r="AB882" s="1354"/>
      <c r="AC882" s="1354"/>
      <c r="AD882" s="1354"/>
      <c r="AE882" s="1354"/>
      <c r="AF882" s="1354"/>
    </row>
    <row r="883" spans="26:32" x14ac:dyDescent="0.15">
      <c r="Z883" s="1354"/>
      <c r="AA883" s="1354"/>
      <c r="AB883" s="1354"/>
      <c r="AC883" s="1354"/>
      <c r="AD883" s="1354"/>
      <c r="AE883" s="1354"/>
      <c r="AF883" s="1354"/>
    </row>
    <row r="884" spans="26:32" x14ac:dyDescent="0.15">
      <c r="Z884" s="1354"/>
      <c r="AA884" s="1354"/>
      <c r="AB884" s="1354"/>
      <c r="AC884" s="1354"/>
      <c r="AD884" s="1354"/>
      <c r="AE884" s="1354"/>
      <c r="AF884" s="1354"/>
    </row>
    <row r="885" spans="26:32" x14ac:dyDescent="0.15">
      <c r="Z885" s="1354"/>
      <c r="AA885" s="1354"/>
      <c r="AB885" s="1354"/>
      <c r="AC885" s="1354"/>
      <c r="AD885" s="1354"/>
      <c r="AE885" s="1354"/>
      <c r="AF885" s="1354"/>
    </row>
    <row r="886" spans="26:32" x14ac:dyDescent="0.15">
      <c r="Z886" s="1354"/>
      <c r="AA886" s="1354"/>
      <c r="AB886" s="1354"/>
      <c r="AC886" s="1354"/>
      <c r="AD886" s="1354"/>
      <c r="AE886" s="1354"/>
      <c r="AF886" s="1354"/>
    </row>
    <row r="887" spans="26:32" x14ac:dyDescent="0.15">
      <c r="Z887" s="1354"/>
      <c r="AA887" s="1354"/>
      <c r="AB887" s="1354"/>
      <c r="AC887" s="1354"/>
      <c r="AD887" s="1354"/>
      <c r="AE887" s="1354"/>
      <c r="AF887" s="1354"/>
    </row>
    <row r="888" spans="26:32" x14ac:dyDescent="0.15">
      <c r="Z888" s="1354"/>
      <c r="AA888" s="1354"/>
      <c r="AB888" s="1354"/>
      <c r="AC888" s="1354"/>
      <c r="AD888" s="1354"/>
      <c r="AE888" s="1354"/>
      <c r="AF888" s="1354"/>
    </row>
    <row r="889" spans="26:32" x14ac:dyDescent="0.15">
      <c r="Z889" s="1354"/>
      <c r="AA889" s="1354"/>
      <c r="AB889" s="1354"/>
      <c r="AC889" s="1354"/>
      <c r="AD889" s="1354"/>
      <c r="AE889" s="1354"/>
      <c r="AF889" s="1354"/>
    </row>
    <row r="890" spans="26:32" x14ac:dyDescent="0.15">
      <c r="Z890" s="1354"/>
      <c r="AA890" s="1354"/>
      <c r="AB890" s="1354"/>
      <c r="AC890" s="1354"/>
      <c r="AD890" s="1354"/>
      <c r="AE890" s="1354"/>
      <c r="AF890" s="1354"/>
    </row>
    <row r="891" spans="26:32" x14ac:dyDescent="0.15">
      <c r="Z891" s="1354"/>
      <c r="AA891" s="1354"/>
      <c r="AB891" s="1354"/>
      <c r="AC891" s="1354"/>
      <c r="AD891" s="1354"/>
      <c r="AE891" s="1354"/>
      <c r="AF891" s="1354"/>
    </row>
    <row r="892" spans="26:32" x14ac:dyDescent="0.15">
      <c r="Z892" s="1354"/>
      <c r="AA892" s="1354"/>
      <c r="AB892" s="1354"/>
      <c r="AC892" s="1354"/>
      <c r="AD892" s="1354"/>
      <c r="AE892" s="1354"/>
      <c r="AF892" s="1354"/>
    </row>
    <row r="893" spans="26:32" x14ac:dyDescent="0.15">
      <c r="Z893" s="1354"/>
      <c r="AA893" s="1354"/>
      <c r="AB893" s="1354"/>
      <c r="AC893" s="1354"/>
      <c r="AD893" s="1354"/>
      <c r="AE893" s="1354"/>
      <c r="AF893" s="1354"/>
    </row>
    <row r="894" spans="26:32" x14ac:dyDescent="0.15">
      <c r="Z894" s="1354"/>
      <c r="AA894" s="1354"/>
      <c r="AB894" s="1354"/>
      <c r="AC894" s="1354"/>
      <c r="AD894" s="1354"/>
      <c r="AE894" s="1354"/>
      <c r="AF894" s="1354"/>
    </row>
    <row r="895" spans="26:32" x14ac:dyDescent="0.15">
      <c r="Z895" s="1354"/>
      <c r="AA895" s="1354"/>
      <c r="AB895" s="1354"/>
      <c r="AC895" s="1354"/>
      <c r="AD895" s="1354"/>
      <c r="AE895" s="1354"/>
      <c r="AF895" s="1354"/>
    </row>
    <row r="896" spans="26:32" x14ac:dyDescent="0.15">
      <c r="Z896" s="1354"/>
      <c r="AA896" s="1354"/>
      <c r="AB896" s="1354"/>
      <c r="AC896" s="1354"/>
      <c r="AD896" s="1354"/>
      <c r="AE896" s="1354"/>
      <c r="AF896" s="1354"/>
    </row>
    <row r="897" spans="26:32" x14ac:dyDescent="0.15">
      <c r="Z897" s="1354"/>
      <c r="AA897" s="1354"/>
      <c r="AB897" s="1354"/>
      <c r="AC897" s="1354"/>
      <c r="AD897" s="1354"/>
      <c r="AE897" s="1354"/>
      <c r="AF897" s="1354"/>
    </row>
    <row r="898" spans="26:32" x14ac:dyDescent="0.15">
      <c r="Z898" s="1354"/>
      <c r="AA898" s="1354"/>
      <c r="AB898" s="1354"/>
      <c r="AC898" s="1354"/>
      <c r="AD898" s="1354"/>
      <c r="AE898" s="1354"/>
      <c r="AF898" s="1354"/>
    </row>
    <row r="899" spans="26:32" x14ac:dyDescent="0.15">
      <c r="Z899" s="1354"/>
      <c r="AA899" s="1354"/>
      <c r="AB899" s="1354"/>
      <c r="AC899" s="1354"/>
      <c r="AD899" s="1354"/>
      <c r="AE899" s="1354"/>
      <c r="AF899" s="1354"/>
    </row>
    <row r="900" spans="26:32" x14ac:dyDescent="0.15">
      <c r="Z900" s="1354"/>
      <c r="AA900" s="1354"/>
      <c r="AB900" s="1354"/>
      <c r="AC900" s="1354"/>
      <c r="AD900" s="1354"/>
      <c r="AE900" s="1354"/>
      <c r="AF900" s="1354"/>
    </row>
    <row r="901" spans="26:32" x14ac:dyDescent="0.15">
      <c r="Z901" s="1354"/>
      <c r="AA901" s="1354"/>
      <c r="AB901" s="1354"/>
      <c r="AC901" s="1354"/>
      <c r="AD901" s="1354"/>
      <c r="AE901" s="1354"/>
      <c r="AF901" s="1354"/>
    </row>
    <row r="902" spans="26:32" x14ac:dyDescent="0.15">
      <c r="Z902" s="1354"/>
      <c r="AA902" s="1354"/>
      <c r="AB902" s="1354"/>
      <c r="AC902" s="1354"/>
      <c r="AD902" s="1354"/>
      <c r="AE902" s="1354"/>
      <c r="AF902" s="1354"/>
    </row>
    <row r="903" spans="26:32" x14ac:dyDescent="0.15">
      <c r="Z903" s="1354"/>
      <c r="AA903" s="1354"/>
      <c r="AB903" s="1354"/>
      <c r="AC903" s="1354"/>
      <c r="AD903" s="1354"/>
      <c r="AE903" s="1354"/>
      <c r="AF903" s="1354"/>
    </row>
    <row r="904" spans="26:32" x14ac:dyDescent="0.15">
      <c r="Z904" s="1354"/>
      <c r="AA904" s="1354"/>
      <c r="AB904" s="1354"/>
      <c r="AC904" s="1354"/>
      <c r="AD904" s="1354"/>
      <c r="AE904" s="1354"/>
      <c r="AF904" s="1354"/>
    </row>
    <row r="905" spans="26:32" x14ac:dyDescent="0.15">
      <c r="Z905" s="1354"/>
      <c r="AA905" s="1354"/>
      <c r="AB905" s="1354"/>
      <c r="AC905" s="1354"/>
      <c r="AD905" s="1354"/>
      <c r="AE905" s="1354"/>
      <c r="AF905" s="1354"/>
    </row>
    <row r="906" spans="26:32" x14ac:dyDescent="0.15">
      <c r="Z906" s="1354"/>
      <c r="AA906" s="1354"/>
      <c r="AB906" s="1354"/>
      <c r="AC906" s="1354"/>
      <c r="AD906" s="1354"/>
      <c r="AE906" s="1354"/>
      <c r="AF906" s="1354"/>
    </row>
    <row r="907" spans="26:32" x14ac:dyDescent="0.15">
      <c r="Z907" s="1354"/>
      <c r="AA907" s="1361"/>
      <c r="AB907" s="1361"/>
      <c r="AC907" s="1361"/>
      <c r="AD907" s="1361"/>
      <c r="AE907" s="1361"/>
      <c r="AF907" s="1361"/>
    </row>
    <row r="908" spans="26:32" x14ac:dyDescent="0.15">
      <c r="Z908" s="1354"/>
      <c r="AA908" s="1354"/>
      <c r="AB908" s="1354"/>
      <c r="AC908" s="1354"/>
      <c r="AD908" s="1354"/>
      <c r="AE908" s="1354"/>
      <c r="AF908" s="1354"/>
    </row>
    <row r="909" spans="26:32" x14ac:dyDescent="0.15">
      <c r="Z909" s="1354"/>
      <c r="AA909" s="1354"/>
      <c r="AB909" s="1354"/>
      <c r="AC909" s="1354"/>
      <c r="AD909" s="1354"/>
      <c r="AE909" s="1354"/>
      <c r="AF909" s="1354"/>
    </row>
    <row r="910" spans="26:32" x14ac:dyDescent="0.15">
      <c r="Z910" s="1354"/>
      <c r="AA910" s="1354"/>
      <c r="AB910" s="1354"/>
      <c r="AC910" s="1354"/>
      <c r="AD910" s="1354"/>
      <c r="AE910" s="1354"/>
      <c r="AF910" s="1354"/>
    </row>
    <row r="911" spans="26:32" x14ac:dyDescent="0.15">
      <c r="Z911" s="1354"/>
      <c r="AA911" s="1354"/>
      <c r="AB911" s="1354"/>
      <c r="AC911" s="1354"/>
      <c r="AD911" s="1354"/>
      <c r="AE911" s="1354"/>
      <c r="AF911" s="1354"/>
    </row>
    <row r="912" spans="26:32" x14ac:dyDescent="0.15">
      <c r="Z912" s="1354"/>
      <c r="AA912" s="1354"/>
      <c r="AB912" s="1354"/>
      <c r="AC912" s="1354"/>
      <c r="AD912" s="1354"/>
      <c r="AE912" s="1354"/>
      <c r="AF912" s="1354"/>
    </row>
    <row r="913" spans="26:32" x14ac:dyDescent="0.15">
      <c r="Z913" s="1354"/>
      <c r="AA913" s="1354"/>
      <c r="AB913" s="1354"/>
      <c r="AC913" s="1354"/>
      <c r="AD913" s="1354"/>
      <c r="AE913" s="1354"/>
      <c r="AF913" s="1354"/>
    </row>
    <row r="914" spans="26:32" x14ac:dyDescent="0.15">
      <c r="Z914" s="1354"/>
      <c r="AA914" s="1354"/>
      <c r="AB914" s="1354"/>
      <c r="AC914" s="1354"/>
      <c r="AD914" s="1354"/>
      <c r="AE914" s="1354"/>
      <c r="AF914" s="1354"/>
    </row>
    <row r="915" spans="26:32" x14ac:dyDescent="0.15">
      <c r="Z915" s="1354"/>
      <c r="AA915" s="1354"/>
      <c r="AB915" s="1354"/>
      <c r="AC915" s="1354"/>
      <c r="AD915" s="1354"/>
      <c r="AE915" s="1354"/>
      <c r="AF915" s="1354"/>
    </row>
    <row r="916" spans="26:32" x14ac:dyDescent="0.15">
      <c r="Z916" s="1354"/>
      <c r="AA916" s="1354"/>
      <c r="AB916" s="1354"/>
      <c r="AC916" s="1354"/>
      <c r="AD916" s="1354"/>
      <c r="AE916" s="1354"/>
      <c r="AF916" s="1354"/>
    </row>
    <row r="917" spans="26:32" x14ac:dyDescent="0.15">
      <c r="Z917" s="1354"/>
      <c r="AA917" s="1354"/>
      <c r="AB917" s="1354"/>
      <c r="AC917" s="1354"/>
      <c r="AD917" s="1354"/>
      <c r="AE917" s="1354"/>
      <c r="AF917" s="1354"/>
    </row>
    <row r="918" spans="26:32" x14ac:dyDescent="0.15">
      <c r="Z918" s="1354"/>
      <c r="AA918" s="1354"/>
      <c r="AB918" s="1354"/>
      <c r="AC918" s="1354"/>
      <c r="AD918" s="1354"/>
      <c r="AE918" s="1354"/>
      <c r="AF918" s="1354"/>
    </row>
    <row r="919" spans="26:32" x14ac:dyDescent="0.15">
      <c r="Z919" s="1354"/>
      <c r="AA919" s="1354"/>
      <c r="AB919" s="1354"/>
      <c r="AC919" s="1354"/>
      <c r="AD919" s="1354"/>
      <c r="AE919" s="1354"/>
      <c r="AF919" s="1354"/>
    </row>
    <row r="920" spans="26:32" x14ac:dyDescent="0.15">
      <c r="Z920" s="1354"/>
      <c r="AA920" s="1354"/>
      <c r="AB920" s="1354"/>
      <c r="AC920" s="1354"/>
      <c r="AD920" s="1354"/>
      <c r="AE920" s="1354"/>
      <c r="AF920" s="1354"/>
    </row>
    <row r="921" spans="26:32" x14ac:dyDescent="0.15">
      <c r="Z921" s="1354"/>
      <c r="AA921" s="1354"/>
      <c r="AB921" s="1354"/>
      <c r="AC921" s="1354"/>
      <c r="AD921" s="1354"/>
      <c r="AE921" s="1354"/>
      <c r="AF921" s="1354"/>
    </row>
    <row r="922" spans="26:32" x14ac:dyDescent="0.15">
      <c r="Z922" s="1354"/>
      <c r="AA922" s="1354"/>
      <c r="AB922" s="1354"/>
      <c r="AC922" s="1354"/>
      <c r="AD922" s="1354"/>
      <c r="AE922" s="1354"/>
      <c r="AF922" s="1354"/>
    </row>
    <row r="923" spans="26:32" x14ac:dyDescent="0.15">
      <c r="Z923" s="1354"/>
      <c r="AA923" s="1354"/>
      <c r="AB923" s="1354"/>
      <c r="AC923" s="1354"/>
      <c r="AD923" s="1354"/>
      <c r="AE923" s="1354"/>
      <c r="AF923" s="1354"/>
    </row>
    <row r="924" spans="26:32" x14ac:dyDescent="0.15">
      <c r="Z924" s="1354"/>
      <c r="AA924" s="1354"/>
      <c r="AB924" s="1354"/>
      <c r="AC924" s="1354"/>
      <c r="AD924" s="1354"/>
      <c r="AE924" s="1354"/>
      <c r="AF924" s="1354"/>
    </row>
    <row r="925" spans="26:32" x14ac:dyDescent="0.15">
      <c r="Z925" s="1354"/>
      <c r="AA925" s="1354"/>
      <c r="AB925" s="1354"/>
      <c r="AC925" s="1354"/>
      <c r="AD925" s="1354"/>
      <c r="AE925" s="1354"/>
      <c r="AF925" s="1354"/>
    </row>
    <row r="926" spans="26:32" x14ac:dyDescent="0.15">
      <c r="Z926" s="1354"/>
      <c r="AA926" s="1354"/>
      <c r="AB926" s="1354"/>
      <c r="AC926" s="1354"/>
      <c r="AD926" s="1354"/>
      <c r="AE926" s="1354"/>
      <c r="AF926" s="1354"/>
    </row>
    <row r="927" spans="26:32" x14ac:dyDescent="0.15">
      <c r="Z927" s="1354"/>
      <c r="AA927" s="1354"/>
      <c r="AB927" s="1354"/>
      <c r="AC927" s="1354"/>
      <c r="AD927" s="1354"/>
      <c r="AE927" s="1354"/>
      <c r="AF927" s="1354"/>
    </row>
    <row r="928" spans="26:32" x14ac:dyDescent="0.15">
      <c r="Z928" s="1354"/>
      <c r="AA928" s="1354"/>
      <c r="AB928" s="1354"/>
      <c r="AC928" s="1354"/>
      <c r="AD928" s="1354"/>
      <c r="AE928" s="1354"/>
      <c r="AF928" s="1354"/>
    </row>
    <row r="929" spans="26:32" x14ac:dyDescent="0.15">
      <c r="Z929" s="1354"/>
      <c r="AA929" s="1354"/>
      <c r="AB929" s="1354"/>
      <c r="AC929" s="1354"/>
      <c r="AD929" s="1354"/>
      <c r="AE929" s="1354"/>
      <c r="AF929" s="1354"/>
    </row>
    <row r="930" spans="26:32" x14ac:dyDescent="0.15">
      <c r="Z930" s="1354"/>
      <c r="AA930" s="1354"/>
      <c r="AB930" s="1354"/>
      <c r="AC930" s="1354"/>
      <c r="AD930" s="1354"/>
      <c r="AE930" s="1354"/>
      <c r="AF930" s="1354"/>
    </row>
    <row r="931" spans="26:32" x14ac:dyDescent="0.15">
      <c r="Z931" s="1354"/>
      <c r="AA931" s="1354"/>
      <c r="AB931" s="1354"/>
      <c r="AC931" s="1354"/>
      <c r="AD931" s="1354"/>
      <c r="AE931" s="1354"/>
      <c r="AF931" s="1354"/>
    </row>
    <row r="932" spans="26:32" x14ac:dyDescent="0.15">
      <c r="Z932" s="1354"/>
      <c r="AA932" s="1354"/>
      <c r="AB932" s="1354"/>
      <c r="AC932" s="1354"/>
      <c r="AD932" s="1354"/>
      <c r="AE932" s="1354"/>
      <c r="AF932" s="1354"/>
    </row>
    <row r="933" spans="26:32" x14ac:dyDescent="0.15">
      <c r="Z933" s="1354"/>
      <c r="AA933" s="1354"/>
      <c r="AB933" s="1354"/>
      <c r="AC933" s="1354"/>
      <c r="AD933" s="1354"/>
      <c r="AE933" s="1354"/>
      <c r="AF933" s="1354"/>
    </row>
    <row r="934" spans="26:32" x14ac:dyDescent="0.15">
      <c r="Z934" s="1354"/>
      <c r="AA934" s="1354"/>
      <c r="AB934" s="1354"/>
      <c r="AC934" s="1354"/>
      <c r="AD934" s="1354"/>
      <c r="AE934" s="1354"/>
      <c r="AF934" s="1354"/>
    </row>
    <row r="935" spans="26:32" x14ac:dyDescent="0.15">
      <c r="Z935" s="1354"/>
      <c r="AA935" s="1354"/>
      <c r="AB935" s="1354"/>
      <c r="AC935" s="1354"/>
      <c r="AD935" s="1354"/>
      <c r="AE935" s="1354"/>
      <c r="AF935" s="1354"/>
    </row>
    <row r="936" spans="26:32" x14ac:dyDescent="0.15">
      <c r="Z936" s="1354"/>
      <c r="AA936" s="1354"/>
      <c r="AB936" s="1354"/>
      <c r="AC936" s="1354"/>
      <c r="AD936" s="1354"/>
      <c r="AE936" s="1354"/>
      <c r="AF936" s="1354"/>
    </row>
    <row r="937" spans="26:32" x14ac:dyDescent="0.15">
      <c r="Z937" s="1354"/>
      <c r="AA937" s="1354"/>
      <c r="AB937" s="1354"/>
      <c r="AC937" s="1354"/>
      <c r="AD937" s="1354"/>
      <c r="AE937" s="1354"/>
      <c r="AF937" s="1354"/>
    </row>
    <row r="938" spans="26:32" x14ac:dyDescent="0.15">
      <c r="Z938" s="1354"/>
      <c r="AA938" s="1354"/>
      <c r="AB938" s="1354"/>
      <c r="AC938" s="1354"/>
      <c r="AD938" s="1354"/>
      <c r="AE938" s="1354"/>
      <c r="AF938" s="1354"/>
    </row>
    <row r="939" spans="26:32" x14ac:dyDescent="0.15">
      <c r="Z939" s="1354"/>
      <c r="AA939" s="1354"/>
      <c r="AB939" s="1354"/>
      <c r="AC939" s="1354"/>
      <c r="AD939" s="1354"/>
      <c r="AE939" s="1354"/>
      <c r="AF939" s="1354"/>
    </row>
    <row r="940" spans="26:32" x14ac:dyDescent="0.15">
      <c r="Z940" s="1354"/>
      <c r="AA940" s="1354"/>
      <c r="AB940" s="1354"/>
      <c r="AC940" s="1354"/>
      <c r="AD940" s="1354"/>
      <c r="AE940" s="1354"/>
      <c r="AF940" s="1354"/>
    </row>
    <row r="941" spans="26:32" x14ac:dyDescent="0.15">
      <c r="Z941" s="1354"/>
      <c r="AA941" s="1354"/>
      <c r="AB941" s="1354"/>
      <c r="AC941" s="1354"/>
      <c r="AD941" s="1354"/>
      <c r="AE941" s="1354"/>
      <c r="AF941" s="1354"/>
    </row>
    <row r="942" spans="26:32" x14ac:dyDescent="0.15">
      <c r="Z942" s="1354"/>
      <c r="AA942" s="1354"/>
      <c r="AB942" s="1354"/>
      <c r="AC942" s="1354"/>
      <c r="AD942" s="1354"/>
      <c r="AE942" s="1354"/>
      <c r="AF942" s="1354"/>
    </row>
    <row r="943" spans="26:32" x14ac:dyDescent="0.15">
      <c r="Z943" s="1354"/>
      <c r="AA943" s="1354"/>
      <c r="AB943" s="1354"/>
      <c r="AC943" s="1354"/>
      <c r="AD943" s="1354"/>
      <c r="AE943" s="1354"/>
      <c r="AF943" s="1354"/>
    </row>
    <row r="944" spans="26:32" x14ac:dyDescent="0.15">
      <c r="Z944" s="1354"/>
      <c r="AA944" s="1354"/>
      <c r="AB944" s="1354"/>
      <c r="AC944" s="1354"/>
      <c r="AD944" s="1354"/>
      <c r="AE944" s="1354"/>
      <c r="AF944" s="1354"/>
    </row>
    <row r="945" spans="26:32" x14ac:dyDescent="0.15">
      <c r="Z945" s="1354"/>
      <c r="AA945" s="1354"/>
      <c r="AB945" s="1354"/>
      <c r="AC945" s="1354"/>
      <c r="AD945" s="1354"/>
      <c r="AE945" s="1354"/>
      <c r="AF945" s="1354"/>
    </row>
    <row r="946" spans="26:32" x14ac:dyDescent="0.15">
      <c r="Z946" s="1354"/>
      <c r="AA946" s="1354"/>
      <c r="AB946" s="1354"/>
      <c r="AC946" s="1354"/>
      <c r="AD946" s="1354"/>
      <c r="AE946" s="1354"/>
      <c r="AF946" s="1354"/>
    </row>
    <row r="947" spans="26:32" x14ac:dyDescent="0.15">
      <c r="Z947" s="1354"/>
      <c r="AA947" s="1354"/>
      <c r="AB947" s="1354"/>
      <c r="AC947" s="1354"/>
      <c r="AD947" s="1354"/>
      <c r="AE947" s="1354"/>
      <c r="AF947" s="1354"/>
    </row>
    <row r="948" spans="26:32" x14ac:dyDescent="0.15">
      <c r="Z948" s="1354"/>
      <c r="AA948" s="1354"/>
      <c r="AB948" s="1354"/>
      <c r="AC948" s="1354"/>
      <c r="AD948" s="1354"/>
      <c r="AE948" s="1354"/>
      <c r="AF948" s="1354"/>
    </row>
    <row r="949" spans="26:32" x14ac:dyDescent="0.15">
      <c r="Z949" s="1354"/>
      <c r="AA949" s="1354"/>
      <c r="AB949" s="1354"/>
      <c r="AC949" s="1354"/>
      <c r="AD949" s="1354"/>
      <c r="AE949" s="1354"/>
      <c r="AF949" s="1354"/>
    </row>
    <row r="950" spans="26:32" x14ac:dyDescent="0.15">
      <c r="Z950" s="1354"/>
      <c r="AA950" s="1354"/>
      <c r="AB950" s="1354"/>
      <c r="AC950" s="1354"/>
      <c r="AD950" s="1354"/>
      <c r="AE950" s="1354"/>
      <c r="AF950" s="1354"/>
    </row>
    <row r="951" spans="26:32" x14ac:dyDescent="0.15">
      <c r="Z951" s="1354"/>
      <c r="AA951" s="1354"/>
      <c r="AB951" s="1354"/>
      <c r="AC951" s="1354"/>
      <c r="AD951" s="1354"/>
      <c r="AE951" s="1354"/>
      <c r="AF951" s="1354"/>
    </row>
    <row r="952" spans="26:32" x14ac:dyDescent="0.15">
      <c r="Z952" s="1354"/>
      <c r="AA952" s="1354"/>
      <c r="AB952" s="1354"/>
      <c r="AC952" s="1354"/>
      <c r="AD952" s="1354"/>
      <c r="AE952" s="1354"/>
      <c r="AF952" s="1354"/>
    </row>
    <row r="953" spans="26:32" x14ac:dyDescent="0.15">
      <c r="Z953" s="1354"/>
      <c r="AA953" s="1354"/>
      <c r="AB953" s="1354"/>
      <c r="AC953" s="1354"/>
      <c r="AD953" s="1354"/>
      <c r="AE953" s="1354"/>
      <c r="AF953" s="1354"/>
    </row>
    <row r="954" spans="26:32" x14ac:dyDescent="0.15">
      <c r="Z954" s="1354"/>
      <c r="AA954" s="1354"/>
      <c r="AB954" s="1354"/>
      <c r="AC954" s="1354"/>
      <c r="AD954" s="1354"/>
      <c r="AE954" s="1354"/>
      <c r="AF954" s="1354"/>
    </row>
    <row r="955" spans="26:32" x14ac:dyDescent="0.15">
      <c r="Z955" s="1354"/>
      <c r="AA955" s="1354"/>
      <c r="AB955" s="1354"/>
      <c r="AC955" s="1354"/>
      <c r="AD955" s="1354"/>
      <c r="AE955" s="1354"/>
      <c r="AF955" s="1354"/>
    </row>
    <row r="956" spans="26:32" x14ac:dyDescent="0.15">
      <c r="Z956" s="1354"/>
      <c r="AA956" s="1354"/>
      <c r="AB956" s="1354"/>
      <c r="AC956" s="1354"/>
      <c r="AD956" s="1354"/>
      <c r="AE956" s="1354"/>
      <c r="AF956" s="1354"/>
    </row>
    <row r="957" spans="26:32" x14ac:dyDescent="0.15">
      <c r="Z957" s="1354"/>
      <c r="AA957" s="1354"/>
      <c r="AB957" s="1354"/>
      <c r="AC957" s="1354"/>
      <c r="AD957" s="1354"/>
      <c r="AE957" s="1354"/>
      <c r="AF957" s="1354"/>
    </row>
    <row r="958" spans="26:32" x14ac:dyDescent="0.15">
      <c r="Z958" s="1354"/>
      <c r="AA958" s="1354"/>
      <c r="AB958" s="1354"/>
      <c r="AC958" s="1354"/>
      <c r="AD958" s="1354"/>
      <c r="AE958" s="1354"/>
      <c r="AF958" s="1354"/>
    </row>
    <row r="959" spans="26:32" x14ac:dyDescent="0.15">
      <c r="Z959" s="1354"/>
      <c r="AA959" s="1354"/>
      <c r="AB959" s="1354"/>
      <c r="AC959" s="1354"/>
      <c r="AD959" s="1354"/>
      <c r="AE959" s="1354"/>
      <c r="AF959" s="1354"/>
    </row>
    <row r="960" spans="26:32" x14ac:dyDescent="0.15">
      <c r="Z960" s="1354"/>
      <c r="AA960" s="1354"/>
      <c r="AB960" s="1354"/>
      <c r="AC960" s="1354"/>
      <c r="AD960" s="1354"/>
      <c r="AE960" s="1354"/>
      <c r="AF960" s="1354"/>
    </row>
    <row r="961" spans="26:32" x14ac:dyDescent="0.15">
      <c r="Z961" s="1354"/>
      <c r="AA961" s="1354"/>
      <c r="AB961" s="1354"/>
      <c r="AC961" s="1354"/>
      <c r="AD961" s="1354"/>
      <c r="AE961" s="1354"/>
      <c r="AF961" s="1354"/>
    </row>
    <row r="962" spans="26:32" x14ac:dyDescent="0.15">
      <c r="Z962" s="1354"/>
      <c r="AA962" s="1354"/>
      <c r="AB962" s="1354"/>
      <c r="AC962" s="1354"/>
      <c r="AD962" s="1354"/>
      <c r="AE962" s="1354"/>
      <c r="AF962" s="1354"/>
    </row>
    <row r="963" spans="26:32" x14ac:dyDescent="0.15">
      <c r="Z963" s="1354"/>
      <c r="AA963" s="1354"/>
      <c r="AB963" s="1354"/>
      <c r="AC963" s="1354"/>
      <c r="AD963" s="1354"/>
      <c r="AE963" s="1354"/>
      <c r="AF963" s="1354"/>
    </row>
    <row r="964" spans="26:32" x14ac:dyDescent="0.15">
      <c r="Z964" s="1354"/>
      <c r="AA964" s="1354"/>
      <c r="AB964" s="1354"/>
      <c r="AC964" s="1354"/>
      <c r="AD964" s="1354"/>
      <c r="AE964" s="1354"/>
      <c r="AF964" s="1354"/>
    </row>
    <row r="965" spans="26:32" x14ac:dyDescent="0.15">
      <c r="Z965" s="1354"/>
      <c r="AA965" s="1354"/>
      <c r="AB965" s="1354"/>
      <c r="AC965" s="1354"/>
      <c r="AD965" s="1354"/>
      <c r="AE965" s="1354"/>
      <c r="AF965" s="1354"/>
    </row>
    <row r="966" spans="26:32" x14ac:dyDescent="0.15">
      <c r="Z966" s="1354"/>
      <c r="AA966" s="1354"/>
      <c r="AB966" s="1354"/>
      <c r="AC966" s="1354"/>
      <c r="AD966" s="1354"/>
      <c r="AE966" s="1354"/>
      <c r="AF966" s="1354"/>
    </row>
    <row r="967" spans="26:32" x14ac:dyDescent="0.15">
      <c r="Z967" s="1354"/>
      <c r="AA967" s="1354"/>
      <c r="AB967" s="1354"/>
      <c r="AC967" s="1354"/>
      <c r="AD967" s="1354"/>
      <c r="AE967" s="1354"/>
      <c r="AF967" s="1354"/>
    </row>
    <row r="968" spans="26:32" x14ac:dyDescent="0.15">
      <c r="Z968" s="1354"/>
      <c r="AA968" s="1354"/>
      <c r="AB968" s="1354"/>
      <c r="AC968" s="1354"/>
      <c r="AD968" s="1354"/>
      <c r="AE968" s="1354"/>
      <c r="AF968" s="1354"/>
    </row>
    <row r="969" spans="26:32" x14ac:dyDescent="0.15">
      <c r="Z969" s="1354"/>
      <c r="AA969" s="1354"/>
      <c r="AB969" s="1354"/>
      <c r="AC969" s="1354"/>
      <c r="AD969" s="1354"/>
      <c r="AE969" s="1354"/>
      <c r="AF969" s="1354"/>
    </row>
    <row r="970" spans="26:32" x14ac:dyDescent="0.15">
      <c r="Z970" s="1354"/>
      <c r="AA970" s="1354"/>
      <c r="AB970" s="1354"/>
      <c r="AC970" s="1354"/>
      <c r="AD970" s="1354"/>
      <c r="AE970" s="1354"/>
      <c r="AF970" s="1354"/>
    </row>
    <row r="971" spans="26:32" x14ac:dyDescent="0.15">
      <c r="Z971" s="1354"/>
      <c r="AA971" s="1354"/>
      <c r="AB971" s="1354"/>
      <c r="AC971" s="1354"/>
      <c r="AD971" s="1354"/>
      <c r="AE971" s="1354"/>
      <c r="AF971" s="1354"/>
    </row>
    <row r="972" spans="26:32" x14ac:dyDescent="0.15">
      <c r="Z972" s="1354"/>
      <c r="AA972" s="1354"/>
      <c r="AB972" s="1354"/>
      <c r="AC972" s="1354"/>
      <c r="AD972" s="1354"/>
      <c r="AE972" s="1354"/>
      <c r="AF972" s="1354"/>
    </row>
    <row r="973" spans="26:32" x14ac:dyDescent="0.15">
      <c r="Z973" s="1354"/>
      <c r="AA973" s="1354"/>
      <c r="AB973" s="1354"/>
      <c r="AC973" s="1354"/>
      <c r="AD973" s="1354"/>
      <c r="AE973" s="1354"/>
      <c r="AF973" s="1354"/>
    </row>
    <row r="974" spans="26:32" x14ac:dyDescent="0.15">
      <c r="Z974" s="1354"/>
      <c r="AA974" s="1354"/>
      <c r="AB974" s="1354"/>
      <c r="AC974" s="1354"/>
      <c r="AD974" s="1354"/>
      <c r="AE974" s="1354"/>
      <c r="AF974" s="1354"/>
    </row>
    <row r="975" spans="26:32" x14ac:dyDescent="0.15">
      <c r="Z975" s="1354"/>
      <c r="AA975" s="1354"/>
      <c r="AB975" s="1354"/>
      <c r="AC975" s="1354"/>
      <c r="AD975" s="1354"/>
      <c r="AE975" s="1354"/>
      <c r="AF975" s="1354"/>
    </row>
    <row r="976" spans="26:32" x14ac:dyDescent="0.15">
      <c r="Z976" s="1354"/>
      <c r="AA976" s="1354"/>
      <c r="AB976" s="1354"/>
      <c r="AC976" s="1354"/>
      <c r="AD976" s="1354"/>
      <c r="AE976" s="1354"/>
      <c r="AF976" s="1354"/>
    </row>
    <row r="977" spans="26:32" x14ac:dyDescent="0.15">
      <c r="Z977" s="1354"/>
      <c r="AA977" s="1354"/>
      <c r="AB977" s="1354"/>
      <c r="AC977" s="1354"/>
      <c r="AD977" s="1354"/>
      <c r="AE977" s="1354"/>
      <c r="AF977" s="1354"/>
    </row>
    <row r="978" spans="26:32" x14ac:dyDescent="0.15">
      <c r="Z978" s="1354"/>
      <c r="AA978" s="1354"/>
      <c r="AB978" s="1354"/>
      <c r="AC978" s="1354"/>
      <c r="AD978" s="1354"/>
      <c r="AE978" s="1354"/>
      <c r="AF978" s="1354"/>
    </row>
    <row r="979" spans="26:32" x14ac:dyDescent="0.15">
      <c r="Z979" s="1354"/>
      <c r="AA979" s="1354"/>
      <c r="AB979" s="1354"/>
      <c r="AC979" s="1354"/>
      <c r="AD979" s="1354"/>
      <c r="AE979" s="1354"/>
      <c r="AF979" s="1354"/>
    </row>
    <row r="980" spans="26:32" x14ac:dyDescent="0.15">
      <c r="Z980" s="1354"/>
      <c r="AA980" s="1354"/>
      <c r="AB980" s="1354"/>
      <c r="AC980" s="1354"/>
      <c r="AD980" s="1354"/>
      <c r="AE980" s="1354"/>
      <c r="AF980" s="1354"/>
    </row>
    <row r="981" spans="26:32" x14ac:dyDescent="0.15">
      <c r="Z981" s="1354"/>
      <c r="AA981" s="1354"/>
      <c r="AB981" s="1354"/>
      <c r="AC981" s="1354"/>
      <c r="AD981" s="1354"/>
      <c r="AE981" s="1354"/>
      <c r="AF981" s="1354"/>
    </row>
    <row r="982" spans="26:32" x14ac:dyDescent="0.15">
      <c r="Z982" s="1354"/>
      <c r="AA982" s="1354"/>
      <c r="AB982" s="1354"/>
      <c r="AC982" s="1354"/>
      <c r="AD982" s="1354"/>
      <c r="AE982" s="1354"/>
      <c r="AF982" s="1354"/>
    </row>
    <row r="983" spans="26:32" x14ac:dyDescent="0.15">
      <c r="Z983" s="1354"/>
      <c r="AA983" s="1354"/>
      <c r="AB983" s="1354"/>
      <c r="AC983" s="1354"/>
      <c r="AD983" s="1354"/>
      <c r="AE983" s="1354"/>
      <c r="AF983" s="1354"/>
    </row>
    <row r="984" spans="26:32" x14ac:dyDescent="0.15">
      <c r="Z984" s="1354"/>
      <c r="AA984" s="1354"/>
      <c r="AB984" s="1354"/>
      <c r="AC984" s="1354"/>
      <c r="AD984" s="1354"/>
      <c r="AE984" s="1354"/>
      <c r="AF984" s="1354"/>
    </row>
    <row r="985" spans="26:32" x14ac:dyDescent="0.15">
      <c r="Z985" s="1354"/>
      <c r="AA985" s="1354"/>
      <c r="AB985" s="1354"/>
      <c r="AC985" s="1354"/>
      <c r="AD985" s="1354"/>
      <c r="AE985" s="1354"/>
      <c r="AF985" s="1354"/>
    </row>
    <row r="986" spans="26:32" x14ac:dyDescent="0.15">
      <c r="Z986" s="1354"/>
      <c r="AA986" s="1354"/>
      <c r="AB986" s="1354"/>
      <c r="AC986" s="1354"/>
      <c r="AD986" s="1354"/>
      <c r="AE986" s="1354"/>
      <c r="AF986" s="1354"/>
    </row>
    <row r="987" spans="26:32" x14ac:dyDescent="0.15">
      <c r="Z987" s="1354"/>
      <c r="AA987" s="1354"/>
      <c r="AB987" s="1354"/>
      <c r="AC987" s="1354"/>
      <c r="AD987" s="1354"/>
      <c r="AE987" s="1354"/>
      <c r="AF987" s="1354"/>
    </row>
    <row r="988" spans="26:32" x14ac:dyDescent="0.15">
      <c r="Z988" s="1354"/>
      <c r="AA988" s="1354"/>
      <c r="AB988" s="1354"/>
      <c r="AC988" s="1354"/>
      <c r="AD988" s="1354"/>
      <c r="AE988" s="1354"/>
      <c r="AF988" s="1354"/>
    </row>
    <row r="989" spans="26:32" x14ac:dyDescent="0.15">
      <c r="Z989" s="1354"/>
      <c r="AA989" s="1354"/>
      <c r="AB989" s="1354"/>
      <c r="AC989" s="1354"/>
      <c r="AD989" s="1354"/>
      <c r="AE989" s="1354"/>
      <c r="AF989" s="1354"/>
    </row>
    <row r="990" spans="26:32" x14ac:dyDescent="0.15">
      <c r="Z990" s="1354"/>
      <c r="AA990" s="1354"/>
      <c r="AB990" s="1354"/>
      <c r="AC990" s="1354"/>
      <c r="AD990" s="1354"/>
      <c r="AE990" s="1354"/>
      <c r="AF990" s="1354"/>
    </row>
    <row r="991" spans="26:32" x14ac:dyDescent="0.15">
      <c r="Z991" s="1354"/>
      <c r="AA991" s="1354"/>
      <c r="AB991" s="1354"/>
      <c r="AC991" s="1354"/>
      <c r="AD991" s="1354"/>
      <c r="AE991" s="1354"/>
      <c r="AF991" s="1354"/>
    </row>
    <row r="992" spans="26:32" x14ac:dyDescent="0.15">
      <c r="Z992" s="1354"/>
      <c r="AA992" s="1354"/>
      <c r="AB992" s="1354"/>
      <c r="AC992" s="1354"/>
      <c r="AD992" s="1354"/>
      <c r="AE992" s="1354"/>
      <c r="AF992" s="1354"/>
    </row>
    <row r="993" spans="26:32" x14ac:dyDescent="0.15">
      <c r="Z993" s="1354"/>
      <c r="AA993" s="1354"/>
      <c r="AB993" s="1354"/>
      <c r="AC993" s="1354"/>
      <c r="AD993" s="1354"/>
      <c r="AE993" s="1354"/>
      <c r="AF993" s="1354"/>
    </row>
    <row r="994" spans="26:32" x14ac:dyDescent="0.15">
      <c r="Z994" s="1354"/>
      <c r="AA994" s="1354"/>
      <c r="AB994" s="1354"/>
      <c r="AC994" s="1354"/>
      <c r="AD994" s="1354"/>
      <c r="AE994" s="1354"/>
      <c r="AF994" s="1354"/>
    </row>
    <row r="995" spans="26:32" x14ac:dyDescent="0.15">
      <c r="Z995" s="1354"/>
      <c r="AA995" s="1354"/>
      <c r="AB995" s="1354"/>
      <c r="AC995" s="1354"/>
      <c r="AD995" s="1354"/>
      <c r="AE995" s="1354"/>
      <c r="AF995" s="1354"/>
    </row>
    <row r="996" spans="26:32" x14ac:dyDescent="0.15">
      <c r="Z996" s="1354"/>
      <c r="AA996" s="1354"/>
      <c r="AB996" s="1354"/>
      <c r="AC996" s="1354"/>
      <c r="AD996" s="1354"/>
      <c r="AE996" s="1354"/>
      <c r="AF996" s="1354"/>
    </row>
    <row r="997" spans="26:32" x14ac:dyDescent="0.15">
      <c r="Z997" s="1354"/>
      <c r="AA997" s="1354"/>
      <c r="AB997" s="1354"/>
      <c r="AC997" s="1354"/>
      <c r="AD997" s="1354"/>
      <c r="AE997" s="1354"/>
      <c r="AF997" s="1354"/>
    </row>
    <row r="998" spans="26:32" x14ac:dyDescent="0.15">
      <c r="Z998" s="1354"/>
      <c r="AA998" s="1354"/>
      <c r="AB998" s="1354"/>
      <c r="AC998" s="1354"/>
      <c r="AD998" s="1354"/>
      <c r="AE998" s="1354"/>
      <c r="AF998" s="1354"/>
    </row>
    <row r="999" spans="26:32" x14ac:dyDescent="0.15">
      <c r="Z999" s="1354"/>
      <c r="AA999" s="1354"/>
      <c r="AB999" s="1354"/>
      <c r="AC999" s="1354"/>
      <c r="AD999" s="1354"/>
      <c r="AE999" s="1354"/>
      <c r="AF999" s="1354"/>
    </row>
    <row r="1000" spans="26:32" x14ac:dyDescent="0.15">
      <c r="Z1000" s="1354"/>
      <c r="AA1000" s="1354"/>
      <c r="AB1000" s="1354"/>
      <c r="AC1000" s="1354"/>
      <c r="AD1000" s="1354"/>
      <c r="AE1000" s="1354"/>
      <c r="AF1000" s="1354"/>
    </row>
    <row r="1001" spans="26:32" x14ac:dyDescent="0.15">
      <c r="Z1001" s="1354"/>
      <c r="AA1001" s="1354"/>
      <c r="AB1001" s="1354"/>
      <c r="AC1001" s="1354"/>
      <c r="AD1001" s="1354"/>
      <c r="AE1001" s="1354"/>
      <c r="AF1001" s="1354"/>
    </row>
    <row r="1002" spans="26:32" x14ac:dyDescent="0.15">
      <c r="Z1002" s="1354"/>
      <c r="AA1002" s="1354"/>
      <c r="AB1002" s="1354"/>
      <c r="AC1002" s="1354"/>
      <c r="AD1002" s="1354"/>
      <c r="AE1002" s="1354"/>
      <c r="AF1002" s="1354"/>
    </row>
    <row r="1003" spans="26:32" x14ac:dyDescent="0.15">
      <c r="Z1003" s="1354"/>
      <c r="AA1003" s="1354"/>
      <c r="AB1003" s="1354"/>
      <c r="AC1003" s="1354"/>
      <c r="AD1003" s="1354"/>
      <c r="AE1003" s="1354"/>
      <c r="AF1003" s="1354"/>
    </row>
    <row r="1004" spans="26:32" x14ac:dyDescent="0.15">
      <c r="Z1004" s="1354"/>
      <c r="AA1004" s="1354"/>
      <c r="AB1004" s="1354"/>
      <c r="AC1004" s="1354"/>
      <c r="AD1004" s="1354"/>
      <c r="AE1004" s="1354"/>
      <c r="AF1004" s="1354"/>
    </row>
    <row r="1005" spans="26:32" x14ac:dyDescent="0.15">
      <c r="Z1005" s="1354"/>
      <c r="AA1005" s="1354"/>
      <c r="AB1005" s="1354"/>
      <c r="AC1005" s="1354"/>
      <c r="AD1005" s="1354"/>
      <c r="AE1005" s="1354"/>
      <c r="AF1005" s="1354"/>
    </row>
    <row r="1006" spans="26:32" x14ac:dyDescent="0.15">
      <c r="Z1006" s="1354"/>
      <c r="AA1006" s="1354"/>
      <c r="AB1006" s="1354"/>
      <c r="AC1006" s="1354"/>
      <c r="AD1006" s="1354"/>
      <c r="AE1006" s="1354"/>
      <c r="AF1006" s="1354"/>
    </row>
    <row r="1007" spans="26:32" x14ac:dyDescent="0.15">
      <c r="Z1007" s="1354"/>
      <c r="AA1007" s="1354"/>
      <c r="AB1007" s="1354"/>
      <c r="AC1007" s="1354"/>
      <c r="AD1007" s="1354"/>
      <c r="AE1007" s="1354"/>
      <c r="AF1007" s="1354"/>
    </row>
    <row r="1008" spans="26:32" x14ac:dyDescent="0.15">
      <c r="Z1008" s="1354"/>
      <c r="AA1008" s="1354"/>
      <c r="AB1008" s="1354"/>
      <c r="AC1008" s="1354"/>
      <c r="AD1008" s="1354"/>
      <c r="AE1008" s="1354"/>
      <c r="AF1008" s="1354"/>
    </row>
    <row r="1009" spans="26:32" x14ac:dyDescent="0.15">
      <c r="Z1009" s="1354"/>
      <c r="AA1009" s="1354"/>
      <c r="AB1009" s="1354"/>
      <c r="AC1009" s="1354"/>
      <c r="AD1009" s="1354"/>
      <c r="AE1009" s="1354"/>
      <c r="AF1009" s="1354"/>
    </row>
    <row r="1010" spans="26:32" x14ac:dyDescent="0.15">
      <c r="Z1010" s="1354"/>
      <c r="AA1010" s="1354"/>
      <c r="AB1010" s="1354"/>
      <c r="AC1010" s="1354"/>
      <c r="AD1010" s="1354"/>
      <c r="AE1010" s="1354"/>
      <c r="AF1010" s="1354"/>
    </row>
    <row r="1011" spans="26:32" x14ac:dyDescent="0.15">
      <c r="Z1011" s="1354"/>
      <c r="AA1011" s="1354"/>
      <c r="AB1011" s="1354"/>
      <c r="AC1011" s="1354"/>
      <c r="AD1011" s="1354"/>
      <c r="AE1011" s="1354"/>
      <c r="AF1011" s="1354"/>
    </row>
    <row r="1012" spans="26:32" x14ac:dyDescent="0.15">
      <c r="Z1012" s="1354"/>
      <c r="AA1012" s="1361"/>
      <c r="AB1012" s="1361"/>
      <c r="AC1012" s="1361"/>
      <c r="AD1012" s="1361"/>
      <c r="AE1012" s="1361"/>
      <c r="AF1012" s="1361"/>
    </row>
    <row r="1013" spans="26:32" x14ac:dyDescent="0.15">
      <c r="Z1013" s="1354"/>
      <c r="AA1013" s="1354"/>
      <c r="AB1013" s="1354"/>
      <c r="AC1013" s="1354"/>
      <c r="AD1013" s="1354"/>
      <c r="AE1013" s="1354"/>
      <c r="AF1013" s="1354"/>
    </row>
    <row r="1014" spans="26:32" x14ac:dyDescent="0.15">
      <c r="Z1014" s="1354"/>
      <c r="AA1014" s="1354"/>
      <c r="AB1014" s="1354"/>
      <c r="AC1014" s="1354"/>
      <c r="AD1014" s="1354"/>
      <c r="AE1014" s="1354"/>
      <c r="AF1014" s="1354"/>
    </row>
    <row r="1015" spans="26:32" x14ac:dyDescent="0.15">
      <c r="Z1015" s="1354"/>
      <c r="AA1015" s="1354"/>
      <c r="AB1015" s="1354"/>
      <c r="AC1015" s="1354"/>
      <c r="AD1015" s="1354"/>
      <c r="AE1015" s="1354"/>
      <c r="AF1015" s="1354"/>
    </row>
    <row r="1016" spans="26:32" x14ac:dyDescent="0.15">
      <c r="Z1016" s="1354"/>
      <c r="AA1016" s="1354"/>
      <c r="AB1016" s="1354"/>
      <c r="AC1016" s="1354"/>
      <c r="AD1016" s="1354"/>
      <c r="AE1016" s="1354"/>
      <c r="AF1016" s="1354"/>
    </row>
    <row r="1017" spans="26:32" x14ac:dyDescent="0.15">
      <c r="Z1017" s="1354"/>
      <c r="AA1017" s="1354"/>
      <c r="AB1017" s="1354"/>
      <c r="AC1017" s="1354"/>
      <c r="AD1017" s="1354"/>
      <c r="AE1017" s="1354"/>
      <c r="AF1017" s="1354"/>
    </row>
    <row r="1018" spans="26:32" x14ac:dyDescent="0.15">
      <c r="Z1018" s="1354"/>
      <c r="AA1018" s="1354"/>
      <c r="AB1018" s="1354"/>
      <c r="AC1018" s="1354"/>
      <c r="AD1018" s="1354"/>
      <c r="AE1018" s="1354"/>
      <c r="AF1018" s="1354"/>
    </row>
    <row r="1019" spans="26:32" x14ac:dyDescent="0.15">
      <c r="Z1019" s="1354"/>
      <c r="AA1019" s="1354"/>
      <c r="AB1019" s="1354"/>
      <c r="AC1019" s="1354"/>
      <c r="AD1019" s="1354"/>
      <c r="AE1019" s="1354"/>
      <c r="AF1019" s="1354"/>
    </row>
    <row r="1020" spans="26:32" x14ac:dyDescent="0.15">
      <c r="Z1020" s="1354"/>
      <c r="AA1020" s="1354"/>
      <c r="AB1020" s="1354"/>
      <c r="AC1020" s="1354"/>
      <c r="AD1020" s="1354"/>
      <c r="AE1020" s="1354"/>
      <c r="AF1020" s="1354"/>
    </row>
    <row r="1021" spans="26:32" x14ac:dyDescent="0.15">
      <c r="Z1021" s="1354"/>
      <c r="AA1021" s="1354"/>
      <c r="AB1021" s="1354"/>
      <c r="AC1021" s="1354"/>
      <c r="AD1021" s="1354"/>
      <c r="AE1021" s="1354"/>
      <c r="AF1021" s="1354"/>
    </row>
    <row r="1022" spans="26:32" x14ac:dyDescent="0.15">
      <c r="Z1022" s="1354"/>
      <c r="AA1022" s="1354"/>
      <c r="AB1022" s="1354"/>
      <c r="AC1022" s="1354"/>
      <c r="AD1022" s="1354"/>
      <c r="AE1022" s="1354"/>
      <c r="AF1022" s="1354"/>
    </row>
    <row r="1023" spans="26:32" x14ac:dyDescent="0.15">
      <c r="Z1023" s="1354"/>
      <c r="AA1023" s="1354"/>
      <c r="AB1023" s="1354"/>
      <c r="AC1023" s="1354"/>
      <c r="AD1023" s="1354"/>
      <c r="AE1023" s="1354"/>
      <c r="AF1023" s="1354"/>
    </row>
    <row r="1024" spans="26:32" x14ac:dyDescent="0.15">
      <c r="Z1024" s="1354"/>
      <c r="AA1024" s="1354"/>
      <c r="AB1024" s="1354"/>
      <c r="AC1024" s="1354"/>
      <c r="AD1024" s="1354"/>
      <c r="AE1024" s="1354"/>
      <c r="AF1024" s="1354"/>
    </row>
    <row r="1025" spans="26:32" x14ac:dyDescent="0.15">
      <c r="Z1025" s="1354"/>
      <c r="AA1025" s="1354"/>
      <c r="AB1025" s="1354"/>
      <c r="AC1025" s="1354"/>
      <c r="AD1025" s="1354"/>
      <c r="AE1025" s="1354"/>
      <c r="AF1025" s="1354"/>
    </row>
    <row r="1026" spans="26:32" x14ac:dyDescent="0.15">
      <c r="Z1026" s="1354"/>
      <c r="AA1026" s="1354"/>
      <c r="AB1026" s="1354"/>
      <c r="AC1026" s="1354"/>
      <c r="AD1026" s="1354"/>
      <c r="AE1026" s="1354"/>
      <c r="AF1026" s="1354"/>
    </row>
    <row r="1027" spans="26:32" x14ac:dyDescent="0.15">
      <c r="Z1027" s="1354"/>
      <c r="AA1027" s="1354"/>
      <c r="AB1027" s="1354"/>
      <c r="AC1027" s="1354"/>
      <c r="AD1027" s="1354"/>
      <c r="AE1027" s="1354"/>
      <c r="AF1027" s="1354"/>
    </row>
    <row r="1028" spans="26:32" x14ac:dyDescent="0.15">
      <c r="Z1028" s="1354"/>
      <c r="AA1028" s="1354"/>
      <c r="AB1028" s="1354"/>
      <c r="AC1028" s="1354"/>
      <c r="AD1028" s="1354"/>
      <c r="AE1028" s="1354"/>
      <c r="AF1028" s="1354"/>
    </row>
    <row r="1029" spans="26:32" x14ac:dyDescent="0.15">
      <c r="Z1029" s="1354"/>
      <c r="AA1029" s="1354"/>
      <c r="AB1029" s="1354"/>
      <c r="AC1029" s="1354"/>
      <c r="AD1029" s="1354"/>
      <c r="AE1029" s="1354"/>
      <c r="AF1029" s="1354"/>
    </row>
    <row r="1030" spans="26:32" x14ac:dyDescent="0.15">
      <c r="Z1030" s="1354"/>
      <c r="AA1030" s="1354"/>
      <c r="AB1030" s="1354"/>
      <c r="AC1030" s="1354"/>
      <c r="AD1030" s="1354"/>
      <c r="AE1030" s="1354"/>
      <c r="AF1030" s="1354"/>
    </row>
    <row r="1031" spans="26:32" x14ac:dyDescent="0.15">
      <c r="Z1031" s="1354"/>
      <c r="AA1031" s="1361"/>
      <c r="AB1031" s="1361"/>
      <c r="AC1031" s="1361"/>
      <c r="AD1031" s="1361"/>
      <c r="AE1031" s="1361"/>
      <c r="AF1031" s="1361"/>
    </row>
    <row r="1032" spans="26:32" x14ac:dyDescent="0.15">
      <c r="Z1032" s="1354"/>
      <c r="AA1032" s="1354"/>
      <c r="AB1032" s="1354"/>
      <c r="AC1032" s="1354"/>
      <c r="AD1032" s="1354"/>
      <c r="AE1032" s="1354"/>
      <c r="AF1032" s="1354"/>
    </row>
    <row r="1033" spans="26:32" x14ac:dyDescent="0.15">
      <c r="Z1033" s="1354"/>
      <c r="AA1033" s="1354"/>
      <c r="AB1033" s="1354"/>
      <c r="AC1033" s="1354"/>
      <c r="AD1033" s="1354"/>
      <c r="AE1033" s="1354"/>
      <c r="AF1033" s="1354"/>
    </row>
    <row r="1034" spans="26:32" x14ac:dyDescent="0.15">
      <c r="Z1034" s="1354"/>
      <c r="AA1034" s="1354"/>
      <c r="AB1034" s="1354"/>
      <c r="AC1034" s="1354"/>
      <c r="AD1034" s="1354"/>
      <c r="AE1034" s="1354"/>
      <c r="AF1034" s="1354"/>
    </row>
    <row r="1035" spans="26:32" x14ac:dyDescent="0.15">
      <c r="Z1035" s="1354"/>
      <c r="AA1035" s="1354"/>
      <c r="AB1035" s="1354"/>
      <c r="AC1035" s="1354"/>
      <c r="AD1035" s="1354"/>
      <c r="AE1035" s="1354"/>
      <c r="AF1035" s="1354"/>
    </row>
    <row r="1036" spans="26:32" x14ac:dyDescent="0.15">
      <c r="Z1036" s="1354"/>
      <c r="AA1036" s="1354"/>
      <c r="AB1036" s="1354"/>
      <c r="AC1036" s="1354"/>
      <c r="AD1036" s="1354"/>
      <c r="AE1036" s="1354"/>
      <c r="AF1036" s="1354"/>
    </row>
    <row r="1037" spans="26:32" x14ac:dyDescent="0.15">
      <c r="Z1037" s="1354"/>
      <c r="AA1037" s="1354"/>
      <c r="AB1037" s="1354"/>
      <c r="AC1037" s="1354"/>
      <c r="AD1037" s="1354"/>
      <c r="AE1037" s="1354"/>
      <c r="AF1037" s="1354"/>
    </row>
    <row r="1038" spans="26:32" x14ac:dyDescent="0.15">
      <c r="Z1038" s="1354"/>
      <c r="AA1038" s="1354"/>
      <c r="AB1038" s="1354"/>
      <c r="AC1038" s="1354"/>
      <c r="AD1038" s="1354"/>
      <c r="AE1038" s="1354"/>
      <c r="AF1038" s="1354"/>
    </row>
    <row r="1039" spans="26:32" x14ac:dyDescent="0.15">
      <c r="Z1039" s="1354"/>
      <c r="AA1039" s="1354"/>
      <c r="AB1039" s="1354"/>
      <c r="AC1039" s="1354"/>
      <c r="AD1039" s="1354"/>
      <c r="AE1039" s="1354"/>
      <c r="AF1039" s="1354"/>
    </row>
    <row r="1040" spans="26:32" x14ac:dyDescent="0.15">
      <c r="Z1040" s="1354"/>
      <c r="AA1040" s="1354"/>
      <c r="AB1040" s="1354"/>
      <c r="AC1040" s="1354"/>
      <c r="AD1040" s="1354"/>
      <c r="AE1040" s="1354"/>
      <c r="AF1040" s="1354"/>
    </row>
    <row r="1041" spans="26:32" x14ac:dyDescent="0.15">
      <c r="Z1041" s="1354"/>
      <c r="AA1041" s="1354"/>
      <c r="AB1041" s="1354"/>
      <c r="AC1041" s="1354"/>
      <c r="AD1041" s="1354"/>
      <c r="AE1041" s="1354"/>
      <c r="AF1041" s="1354"/>
    </row>
    <row r="1042" spans="26:32" x14ac:dyDescent="0.15">
      <c r="Z1042" s="1354"/>
      <c r="AA1042" s="1354"/>
      <c r="AB1042" s="1354"/>
      <c r="AC1042" s="1354"/>
      <c r="AD1042" s="1354"/>
      <c r="AE1042" s="1354"/>
      <c r="AF1042" s="1354"/>
    </row>
    <row r="1043" spans="26:32" x14ac:dyDescent="0.15">
      <c r="Z1043" s="1354"/>
      <c r="AA1043" s="1354"/>
      <c r="AB1043" s="1354"/>
      <c r="AC1043" s="1354"/>
      <c r="AD1043" s="1354"/>
      <c r="AE1043" s="1354"/>
      <c r="AF1043" s="1354"/>
    </row>
    <row r="1044" spans="26:32" x14ac:dyDescent="0.15">
      <c r="Z1044" s="1354"/>
      <c r="AA1044" s="1354"/>
      <c r="AB1044" s="1354"/>
      <c r="AC1044" s="1354"/>
      <c r="AD1044" s="1354"/>
      <c r="AE1044" s="1354"/>
      <c r="AF1044" s="1354"/>
    </row>
    <row r="1045" spans="26:32" x14ac:dyDescent="0.15">
      <c r="Z1045" s="1354"/>
      <c r="AA1045" s="1354"/>
      <c r="AB1045" s="1354"/>
      <c r="AC1045" s="1354"/>
      <c r="AD1045" s="1354"/>
      <c r="AE1045" s="1354"/>
      <c r="AF1045" s="1354"/>
    </row>
    <row r="1046" spans="26:32" x14ac:dyDescent="0.15">
      <c r="Z1046" s="1354"/>
      <c r="AA1046" s="1354"/>
      <c r="AB1046" s="1354"/>
      <c r="AC1046" s="1354"/>
      <c r="AD1046" s="1354"/>
      <c r="AE1046" s="1354"/>
      <c r="AF1046" s="1354"/>
    </row>
    <row r="1047" spans="26:32" x14ac:dyDescent="0.15">
      <c r="Z1047" s="1354"/>
      <c r="AA1047" s="1354"/>
      <c r="AB1047" s="1354"/>
      <c r="AC1047" s="1354"/>
      <c r="AD1047" s="1354"/>
      <c r="AE1047" s="1354"/>
      <c r="AF1047" s="1354"/>
    </row>
    <row r="1048" spans="26:32" x14ac:dyDescent="0.15">
      <c r="Z1048" s="1354"/>
      <c r="AA1048" s="1354"/>
      <c r="AB1048" s="1354"/>
      <c r="AC1048" s="1354"/>
      <c r="AD1048" s="1354"/>
      <c r="AE1048" s="1354"/>
      <c r="AF1048" s="1354"/>
    </row>
    <row r="1049" spans="26:32" x14ac:dyDescent="0.15">
      <c r="Z1049" s="1354"/>
      <c r="AA1049" s="1354"/>
      <c r="AB1049" s="1354"/>
      <c r="AC1049" s="1354"/>
      <c r="AD1049" s="1354"/>
      <c r="AE1049" s="1354"/>
      <c r="AF1049" s="1354"/>
    </row>
    <row r="1050" spans="26:32" x14ac:dyDescent="0.15">
      <c r="Z1050" s="1354"/>
      <c r="AA1050" s="1354"/>
      <c r="AB1050" s="1354"/>
      <c r="AC1050" s="1354"/>
      <c r="AD1050" s="1354"/>
      <c r="AE1050" s="1354"/>
      <c r="AF1050" s="1354"/>
    </row>
    <row r="1051" spans="26:32" x14ac:dyDescent="0.15">
      <c r="Z1051" s="1354"/>
      <c r="AA1051" s="1354"/>
      <c r="AB1051" s="1354"/>
      <c r="AC1051" s="1354"/>
      <c r="AD1051" s="1354"/>
      <c r="AE1051" s="1354"/>
      <c r="AF1051" s="1354"/>
    </row>
    <row r="1052" spans="26:32" x14ac:dyDescent="0.15">
      <c r="Z1052" s="1354"/>
      <c r="AA1052" s="1354"/>
      <c r="AB1052" s="1354"/>
      <c r="AC1052" s="1354"/>
      <c r="AD1052" s="1354"/>
      <c r="AE1052" s="1354"/>
      <c r="AF1052" s="1354"/>
    </row>
    <row r="1053" spans="26:32" x14ac:dyDescent="0.15">
      <c r="Z1053" s="1354"/>
      <c r="AA1053" s="1354"/>
      <c r="AB1053" s="1354"/>
      <c r="AC1053" s="1354"/>
      <c r="AD1053" s="1354"/>
      <c r="AE1053" s="1354"/>
      <c r="AF1053" s="1354"/>
    </row>
    <row r="1054" spans="26:32" x14ac:dyDescent="0.15">
      <c r="Z1054" s="1354"/>
      <c r="AA1054" s="1354"/>
      <c r="AB1054" s="1354"/>
      <c r="AC1054" s="1354"/>
      <c r="AD1054" s="1354"/>
      <c r="AE1054" s="1354"/>
      <c r="AF1054" s="1354"/>
    </row>
    <row r="1055" spans="26:32" x14ac:dyDescent="0.15">
      <c r="Z1055" s="1354"/>
      <c r="AA1055" s="1354"/>
      <c r="AB1055" s="1354"/>
      <c r="AC1055" s="1354"/>
      <c r="AD1055" s="1354"/>
      <c r="AE1055" s="1354"/>
      <c r="AF1055" s="1354"/>
    </row>
    <row r="1056" spans="26:32" x14ac:dyDescent="0.15">
      <c r="Z1056" s="1354"/>
      <c r="AA1056" s="1354"/>
      <c r="AB1056" s="1354"/>
      <c r="AC1056" s="1354"/>
      <c r="AD1056" s="1354"/>
      <c r="AE1056" s="1354"/>
      <c r="AF1056" s="1354"/>
    </row>
    <row r="1057" spans="26:32" x14ac:dyDescent="0.15">
      <c r="Z1057" s="1354"/>
      <c r="AA1057" s="1354"/>
      <c r="AB1057" s="1354"/>
      <c r="AC1057" s="1354"/>
      <c r="AD1057" s="1354"/>
      <c r="AE1057" s="1354"/>
      <c r="AF1057" s="1354"/>
    </row>
    <row r="1058" spans="26:32" x14ac:dyDescent="0.15">
      <c r="Z1058" s="1354"/>
      <c r="AA1058" s="1354"/>
      <c r="AB1058" s="1354"/>
      <c r="AC1058" s="1354"/>
      <c r="AD1058" s="1354"/>
      <c r="AE1058" s="1354"/>
      <c r="AF1058" s="1354"/>
    </row>
    <row r="1059" spans="26:32" x14ac:dyDescent="0.15">
      <c r="Z1059" s="1354"/>
      <c r="AA1059" s="1354"/>
      <c r="AB1059" s="1354"/>
      <c r="AC1059" s="1354"/>
      <c r="AD1059" s="1354"/>
      <c r="AE1059" s="1354"/>
      <c r="AF1059" s="1354"/>
    </row>
    <row r="1060" spans="26:32" x14ac:dyDescent="0.15">
      <c r="Z1060" s="1354"/>
      <c r="AA1060" s="1354"/>
      <c r="AB1060" s="1354"/>
      <c r="AC1060" s="1354"/>
      <c r="AD1060" s="1354"/>
      <c r="AE1060" s="1354"/>
      <c r="AF1060" s="1354"/>
    </row>
    <row r="1061" spans="26:32" x14ac:dyDescent="0.15">
      <c r="Z1061" s="1354"/>
      <c r="AA1061" s="1354"/>
      <c r="AB1061" s="1354"/>
      <c r="AC1061" s="1354"/>
      <c r="AD1061" s="1354"/>
      <c r="AE1061" s="1354"/>
      <c r="AF1061" s="1354"/>
    </row>
    <row r="1062" spans="26:32" x14ac:dyDescent="0.15">
      <c r="Z1062" s="1354"/>
      <c r="AA1062" s="1354"/>
      <c r="AB1062" s="1354"/>
      <c r="AC1062" s="1354"/>
      <c r="AD1062" s="1354"/>
      <c r="AE1062" s="1354"/>
      <c r="AF1062" s="1354"/>
    </row>
    <row r="1063" spans="26:32" x14ac:dyDescent="0.15">
      <c r="Z1063" s="1354"/>
      <c r="AA1063" s="1354"/>
      <c r="AB1063" s="1354"/>
      <c r="AC1063" s="1354"/>
      <c r="AD1063" s="1354"/>
      <c r="AE1063" s="1354"/>
      <c r="AF1063" s="1354"/>
    </row>
    <row r="1064" spans="26:32" x14ac:dyDescent="0.15">
      <c r="Z1064" s="1354"/>
      <c r="AA1064" s="1354"/>
      <c r="AB1064" s="1354"/>
      <c r="AC1064" s="1354"/>
      <c r="AD1064" s="1354"/>
      <c r="AE1064" s="1354"/>
      <c r="AF1064" s="1354"/>
    </row>
    <row r="1065" spans="26:32" x14ac:dyDescent="0.15">
      <c r="Z1065" s="1354"/>
      <c r="AA1065" s="1354"/>
      <c r="AB1065" s="1354"/>
      <c r="AC1065" s="1354"/>
      <c r="AD1065" s="1354"/>
      <c r="AE1065" s="1354"/>
      <c r="AF1065" s="1354"/>
    </row>
    <row r="1066" spans="26:32" x14ac:dyDescent="0.15">
      <c r="Z1066" s="1354"/>
      <c r="AA1066" s="1354"/>
      <c r="AB1066" s="1354"/>
      <c r="AC1066" s="1354"/>
      <c r="AD1066" s="1354"/>
      <c r="AE1066" s="1354"/>
      <c r="AF1066" s="1354"/>
    </row>
    <row r="1067" spans="26:32" x14ac:dyDescent="0.15">
      <c r="Z1067" s="1354"/>
      <c r="AA1067" s="1354"/>
      <c r="AB1067" s="1354"/>
      <c r="AC1067" s="1354"/>
      <c r="AD1067" s="1354"/>
      <c r="AE1067" s="1354"/>
      <c r="AF1067" s="1354"/>
    </row>
    <row r="1068" spans="26:32" x14ac:dyDescent="0.15">
      <c r="Z1068" s="1354"/>
      <c r="AA1068" s="1354"/>
      <c r="AB1068" s="1354"/>
      <c r="AC1068" s="1354"/>
      <c r="AD1068" s="1354"/>
      <c r="AE1068" s="1354"/>
      <c r="AF1068" s="1354"/>
    </row>
    <row r="1069" spans="26:32" x14ac:dyDescent="0.15">
      <c r="Z1069" s="1354"/>
      <c r="AA1069" s="1354"/>
      <c r="AB1069" s="1354"/>
      <c r="AC1069" s="1354"/>
      <c r="AD1069" s="1354"/>
      <c r="AE1069" s="1354"/>
      <c r="AF1069" s="1354"/>
    </row>
    <row r="1070" spans="26:32" x14ac:dyDescent="0.15">
      <c r="Z1070" s="1354"/>
      <c r="AA1070" s="1354"/>
      <c r="AB1070" s="1354"/>
      <c r="AC1070" s="1354"/>
      <c r="AD1070" s="1354"/>
      <c r="AE1070" s="1354"/>
      <c r="AF1070" s="1354"/>
    </row>
    <row r="1071" spans="26:32" x14ac:dyDescent="0.15">
      <c r="Z1071" s="1354"/>
      <c r="AA1071" s="1354"/>
      <c r="AB1071" s="1354"/>
      <c r="AC1071" s="1354"/>
      <c r="AD1071" s="1354"/>
      <c r="AE1071" s="1354"/>
      <c r="AF1071" s="1354"/>
    </row>
    <row r="1072" spans="26:32" x14ac:dyDescent="0.15">
      <c r="Z1072" s="1354"/>
      <c r="AA1072" s="1354"/>
      <c r="AB1072" s="1354"/>
      <c r="AC1072" s="1354"/>
      <c r="AD1072" s="1354"/>
      <c r="AE1072" s="1354"/>
      <c r="AF1072" s="1354"/>
    </row>
    <row r="1073" spans="26:32" x14ac:dyDescent="0.15">
      <c r="Z1073" s="1354"/>
      <c r="AA1073" s="1354"/>
      <c r="AB1073" s="1354"/>
      <c r="AC1073" s="1354"/>
      <c r="AD1073" s="1354"/>
      <c r="AE1073" s="1354"/>
      <c r="AF1073" s="1354"/>
    </row>
    <row r="1074" spans="26:32" x14ac:dyDescent="0.15">
      <c r="Z1074" s="1354"/>
      <c r="AA1074" s="1354"/>
      <c r="AB1074" s="1354"/>
      <c r="AC1074" s="1354"/>
      <c r="AD1074" s="1354"/>
      <c r="AE1074" s="1354"/>
      <c r="AF1074" s="1354"/>
    </row>
    <row r="1075" spans="26:32" x14ac:dyDescent="0.15">
      <c r="Z1075" s="1354"/>
      <c r="AA1075" s="1354"/>
      <c r="AB1075" s="1354"/>
      <c r="AC1075" s="1354"/>
      <c r="AD1075" s="1354"/>
      <c r="AE1075" s="1354"/>
      <c r="AF1075" s="1354"/>
    </row>
    <row r="1076" spans="26:32" x14ac:dyDescent="0.15">
      <c r="Z1076" s="1354"/>
      <c r="AA1076" s="1354"/>
      <c r="AB1076" s="1354"/>
      <c r="AC1076" s="1354"/>
      <c r="AD1076" s="1354"/>
      <c r="AE1076" s="1354"/>
      <c r="AF1076" s="1354"/>
    </row>
    <row r="1077" spans="26:32" x14ac:dyDescent="0.15">
      <c r="Z1077" s="1354"/>
      <c r="AA1077" s="1354"/>
      <c r="AB1077" s="1354"/>
      <c r="AC1077" s="1354"/>
      <c r="AD1077" s="1354"/>
      <c r="AE1077" s="1354"/>
      <c r="AF1077" s="1354"/>
    </row>
    <row r="1078" spans="26:32" x14ac:dyDescent="0.15">
      <c r="Z1078" s="1354"/>
      <c r="AA1078" s="1354"/>
      <c r="AB1078" s="1354"/>
      <c r="AC1078" s="1354"/>
      <c r="AD1078" s="1354"/>
      <c r="AE1078" s="1354"/>
      <c r="AF1078" s="1354"/>
    </row>
    <row r="1079" spans="26:32" x14ac:dyDescent="0.15">
      <c r="Z1079" s="1354"/>
      <c r="AA1079" s="1354"/>
      <c r="AB1079" s="1354"/>
      <c r="AC1079" s="1354"/>
      <c r="AD1079" s="1354"/>
      <c r="AE1079" s="1354"/>
      <c r="AF1079" s="1354"/>
    </row>
    <row r="1080" spans="26:32" x14ac:dyDescent="0.15">
      <c r="Z1080" s="1354"/>
      <c r="AA1080" s="1354"/>
      <c r="AB1080" s="1354"/>
      <c r="AC1080" s="1354"/>
      <c r="AD1080" s="1354"/>
      <c r="AE1080" s="1354"/>
      <c r="AF1080" s="1354"/>
    </row>
    <row r="1081" spans="26:32" x14ac:dyDescent="0.15">
      <c r="Z1081" s="1354"/>
      <c r="AA1081" s="1354"/>
      <c r="AB1081" s="1354"/>
      <c r="AC1081" s="1354"/>
      <c r="AD1081" s="1354"/>
      <c r="AE1081" s="1354"/>
      <c r="AF1081" s="1354"/>
    </row>
    <row r="1082" spans="26:32" x14ac:dyDescent="0.15">
      <c r="Z1082" s="1354"/>
      <c r="AA1082" s="1354"/>
      <c r="AB1082" s="1354"/>
      <c r="AC1082" s="1354"/>
      <c r="AD1082" s="1354"/>
      <c r="AE1082" s="1354"/>
      <c r="AF1082" s="1354"/>
    </row>
    <row r="1083" spans="26:32" x14ac:dyDescent="0.15">
      <c r="Z1083" s="1354"/>
      <c r="AA1083" s="1354"/>
      <c r="AB1083" s="1354"/>
      <c r="AC1083" s="1354"/>
      <c r="AD1083" s="1354"/>
      <c r="AE1083" s="1354"/>
      <c r="AF1083" s="1354"/>
    </row>
    <row r="1084" spans="26:32" x14ac:dyDescent="0.15">
      <c r="Z1084" s="1354"/>
      <c r="AA1084" s="1354"/>
      <c r="AB1084" s="1354"/>
      <c r="AC1084" s="1354"/>
      <c r="AD1084" s="1354"/>
      <c r="AE1084" s="1354"/>
      <c r="AF1084" s="1354"/>
    </row>
    <row r="1085" spans="26:32" x14ac:dyDescent="0.15">
      <c r="Z1085" s="1354"/>
      <c r="AA1085" s="1354"/>
      <c r="AB1085" s="1354"/>
      <c r="AC1085" s="1354"/>
      <c r="AD1085" s="1354"/>
      <c r="AE1085" s="1354"/>
      <c r="AF1085" s="1354"/>
    </row>
    <row r="1086" spans="26:32" x14ac:dyDescent="0.15">
      <c r="Z1086" s="1354"/>
      <c r="AA1086" s="1354"/>
      <c r="AB1086" s="1354"/>
      <c r="AC1086" s="1354"/>
      <c r="AD1086" s="1354"/>
      <c r="AE1086" s="1354"/>
      <c r="AF1086" s="1354"/>
    </row>
    <row r="1087" spans="26:32" x14ac:dyDescent="0.15">
      <c r="Z1087" s="1354"/>
      <c r="AA1087" s="1354"/>
      <c r="AB1087" s="1354"/>
      <c r="AC1087" s="1354"/>
      <c r="AD1087" s="1354"/>
      <c r="AE1087" s="1354"/>
      <c r="AF1087" s="1354"/>
    </row>
    <row r="1088" spans="26:32" x14ac:dyDescent="0.15">
      <c r="Z1088" s="1354"/>
      <c r="AA1088" s="1354"/>
      <c r="AB1088" s="1354"/>
      <c r="AC1088" s="1354"/>
      <c r="AD1088" s="1354"/>
      <c r="AE1088" s="1354"/>
      <c r="AF1088" s="1354"/>
    </row>
    <row r="1089" spans="26:32" x14ac:dyDescent="0.15">
      <c r="Z1089" s="1354"/>
      <c r="AA1089" s="1354"/>
      <c r="AB1089" s="1354"/>
      <c r="AC1089" s="1354"/>
      <c r="AD1089" s="1354"/>
      <c r="AE1089" s="1354"/>
      <c r="AF1089" s="1354"/>
    </row>
    <row r="1090" spans="26:32" x14ac:dyDescent="0.15">
      <c r="Z1090" s="1354"/>
      <c r="AA1090" s="1354"/>
      <c r="AB1090" s="1354"/>
      <c r="AC1090" s="1354"/>
      <c r="AD1090" s="1354"/>
      <c r="AE1090" s="1354"/>
      <c r="AF1090" s="1354"/>
    </row>
    <row r="1091" spans="26:32" x14ac:dyDescent="0.15">
      <c r="Z1091" s="1354"/>
      <c r="AA1091" s="1354"/>
      <c r="AB1091" s="1354"/>
      <c r="AC1091" s="1354"/>
      <c r="AD1091" s="1354"/>
      <c r="AE1091" s="1354"/>
      <c r="AF1091" s="1354"/>
    </row>
    <row r="1092" spans="26:32" x14ac:dyDescent="0.15">
      <c r="Z1092" s="1354"/>
      <c r="AA1092" s="1354"/>
      <c r="AB1092" s="1354"/>
      <c r="AC1092" s="1354"/>
      <c r="AD1092" s="1354"/>
      <c r="AE1092" s="1354"/>
      <c r="AF1092" s="1354"/>
    </row>
    <row r="1093" spans="26:32" x14ac:dyDescent="0.15">
      <c r="Z1093" s="1354"/>
      <c r="AA1093" s="1354"/>
      <c r="AB1093" s="1354"/>
      <c r="AC1093" s="1354"/>
      <c r="AD1093" s="1354"/>
      <c r="AE1093" s="1354"/>
      <c r="AF1093" s="1354"/>
    </row>
    <row r="1094" spans="26:32" x14ac:dyDescent="0.15">
      <c r="Z1094" s="1354"/>
      <c r="AA1094" s="1354"/>
      <c r="AB1094" s="1354"/>
      <c r="AC1094" s="1354"/>
      <c r="AD1094" s="1354"/>
      <c r="AE1094" s="1354"/>
      <c r="AF1094" s="1354"/>
    </row>
    <row r="1095" spans="26:32" x14ac:dyDescent="0.15">
      <c r="Z1095" s="1354"/>
      <c r="AA1095" s="1354"/>
      <c r="AB1095" s="1354"/>
      <c r="AC1095" s="1354"/>
      <c r="AD1095" s="1354"/>
      <c r="AE1095" s="1354"/>
      <c r="AF1095" s="1354"/>
    </row>
    <row r="1096" spans="26:32" x14ac:dyDescent="0.15">
      <c r="Z1096" s="1354"/>
      <c r="AA1096" s="1354"/>
      <c r="AB1096" s="1354"/>
      <c r="AC1096" s="1354"/>
      <c r="AD1096" s="1354"/>
      <c r="AE1096" s="1354"/>
      <c r="AF1096" s="1354"/>
    </row>
    <row r="1097" spans="26:32" x14ac:dyDescent="0.15">
      <c r="Z1097" s="1354"/>
      <c r="AA1097" s="1354"/>
      <c r="AB1097" s="1354"/>
      <c r="AC1097" s="1354"/>
      <c r="AD1097" s="1354"/>
      <c r="AE1097" s="1354"/>
      <c r="AF1097" s="1354"/>
    </row>
    <row r="1098" spans="26:32" x14ac:dyDescent="0.15">
      <c r="Z1098" s="1354"/>
      <c r="AA1098" s="1354"/>
      <c r="AB1098" s="1354"/>
      <c r="AC1098" s="1354"/>
      <c r="AD1098" s="1354"/>
      <c r="AE1098" s="1354"/>
      <c r="AF1098" s="1354"/>
    </row>
    <row r="1099" spans="26:32" x14ac:dyDescent="0.15">
      <c r="Z1099" s="1354"/>
      <c r="AA1099" s="1354"/>
      <c r="AB1099" s="1354"/>
      <c r="AC1099" s="1354"/>
      <c r="AD1099" s="1354"/>
      <c r="AE1099" s="1354"/>
      <c r="AF1099" s="1354"/>
    </row>
    <row r="1100" spans="26:32" x14ac:dyDescent="0.15">
      <c r="Z1100" s="1354"/>
      <c r="AA1100" s="1354"/>
      <c r="AB1100" s="1354"/>
      <c r="AC1100" s="1354"/>
      <c r="AD1100" s="1354"/>
      <c r="AE1100" s="1354"/>
      <c r="AF1100" s="1354"/>
    </row>
    <row r="1101" spans="26:32" x14ac:dyDescent="0.15">
      <c r="Z1101" s="1354"/>
      <c r="AA1101" s="1354"/>
      <c r="AB1101" s="1354"/>
      <c r="AC1101" s="1354"/>
      <c r="AD1101" s="1354"/>
      <c r="AE1101" s="1354"/>
      <c r="AF1101" s="1354"/>
    </row>
    <row r="1102" spans="26:32" x14ac:dyDescent="0.15">
      <c r="Z1102" s="1354"/>
      <c r="AA1102" s="1354"/>
      <c r="AB1102" s="1354"/>
      <c r="AC1102" s="1354"/>
      <c r="AD1102" s="1354"/>
      <c r="AE1102" s="1354"/>
      <c r="AF1102" s="1354"/>
    </row>
    <row r="1103" spans="26:32" x14ac:dyDescent="0.15">
      <c r="Z1103" s="1354"/>
      <c r="AA1103" s="1354"/>
      <c r="AB1103" s="1354"/>
      <c r="AC1103" s="1354"/>
      <c r="AD1103" s="1354"/>
      <c r="AE1103" s="1354"/>
      <c r="AF1103" s="1354"/>
    </row>
    <row r="1104" spans="26:32" x14ac:dyDescent="0.15">
      <c r="Z1104" s="1354"/>
      <c r="AA1104" s="1354"/>
      <c r="AB1104" s="1354"/>
      <c r="AC1104" s="1354"/>
      <c r="AD1104" s="1354"/>
      <c r="AE1104" s="1354"/>
      <c r="AF1104" s="1354"/>
    </row>
    <row r="1105" spans="26:32" x14ac:dyDescent="0.15">
      <c r="Z1105" s="1354"/>
      <c r="AA1105" s="1354"/>
      <c r="AB1105" s="1354"/>
      <c r="AC1105" s="1354"/>
      <c r="AD1105" s="1354"/>
      <c r="AE1105" s="1354"/>
      <c r="AF1105" s="1354"/>
    </row>
    <row r="1106" spans="26:32" x14ac:dyDescent="0.15">
      <c r="Z1106" s="1354"/>
      <c r="AA1106" s="1354"/>
      <c r="AB1106" s="1354"/>
      <c r="AC1106" s="1354"/>
      <c r="AD1106" s="1354"/>
      <c r="AE1106" s="1354"/>
      <c r="AF1106" s="1354"/>
    </row>
    <row r="1107" spans="26:32" x14ac:dyDescent="0.15">
      <c r="Z1107" s="1354"/>
      <c r="AA1107" s="1354"/>
      <c r="AB1107" s="1354"/>
      <c r="AC1107" s="1354"/>
      <c r="AD1107" s="1354"/>
      <c r="AE1107" s="1354"/>
      <c r="AF1107" s="1354"/>
    </row>
    <row r="1108" spans="26:32" x14ac:dyDescent="0.15">
      <c r="Z1108" s="1354"/>
      <c r="AA1108" s="1354"/>
      <c r="AB1108" s="1354"/>
      <c r="AC1108" s="1354"/>
      <c r="AD1108" s="1354"/>
      <c r="AE1108" s="1354"/>
      <c r="AF1108" s="1354"/>
    </row>
    <row r="1109" spans="26:32" x14ac:dyDescent="0.15">
      <c r="Z1109" s="1354"/>
      <c r="AA1109" s="1354"/>
      <c r="AB1109" s="1354"/>
      <c r="AC1109" s="1354"/>
      <c r="AD1109" s="1354"/>
      <c r="AE1109" s="1354"/>
      <c r="AF1109" s="1354"/>
    </row>
    <row r="1110" spans="26:32" x14ac:dyDescent="0.15">
      <c r="Z1110" s="1354"/>
      <c r="AA1110" s="1354"/>
      <c r="AB1110" s="1354"/>
      <c r="AC1110" s="1354"/>
      <c r="AD1110" s="1354"/>
      <c r="AE1110" s="1354"/>
      <c r="AF1110" s="1354"/>
    </row>
    <row r="1111" spans="26:32" x14ac:dyDescent="0.15">
      <c r="Z1111" s="1354"/>
      <c r="AA1111" s="1354"/>
      <c r="AB1111" s="1354"/>
      <c r="AC1111" s="1354"/>
      <c r="AD1111" s="1354"/>
      <c r="AE1111" s="1354"/>
      <c r="AF1111" s="1354"/>
    </row>
    <row r="1112" spans="26:32" x14ac:dyDescent="0.15">
      <c r="Z1112" s="1354"/>
      <c r="AA1112" s="1354"/>
      <c r="AB1112" s="1354"/>
      <c r="AC1112" s="1354"/>
      <c r="AD1112" s="1354"/>
      <c r="AE1112" s="1354"/>
      <c r="AF1112" s="1354"/>
    </row>
    <row r="1113" spans="26:32" x14ac:dyDescent="0.15">
      <c r="Z1113" s="1354"/>
      <c r="AA1113" s="1354"/>
      <c r="AB1113" s="1354"/>
      <c r="AC1113" s="1354"/>
      <c r="AD1113" s="1354"/>
      <c r="AE1113" s="1354"/>
      <c r="AF1113" s="1354"/>
    </row>
    <row r="1114" spans="26:32" x14ac:dyDescent="0.15">
      <c r="Z1114" s="1354"/>
      <c r="AA1114" s="1354"/>
      <c r="AB1114" s="1354"/>
      <c r="AC1114" s="1354"/>
      <c r="AD1114" s="1354"/>
      <c r="AE1114" s="1354"/>
      <c r="AF1114" s="1354"/>
    </row>
    <row r="1115" spans="26:32" x14ac:dyDescent="0.15">
      <c r="Z1115" s="1354"/>
      <c r="AA1115" s="1354"/>
      <c r="AB1115" s="1354"/>
      <c r="AC1115" s="1354"/>
      <c r="AD1115" s="1354"/>
      <c r="AE1115" s="1354"/>
      <c r="AF1115" s="1354"/>
    </row>
    <row r="1116" spans="26:32" x14ac:dyDescent="0.15">
      <c r="Z1116" s="1354"/>
      <c r="AA1116" s="1354"/>
      <c r="AB1116" s="1354"/>
      <c r="AC1116" s="1354"/>
      <c r="AD1116" s="1354"/>
      <c r="AE1116" s="1354"/>
      <c r="AF1116" s="1354"/>
    </row>
    <row r="1117" spans="26:32" x14ac:dyDescent="0.15">
      <c r="Z1117" s="1354"/>
      <c r="AA1117" s="1354"/>
      <c r="AB1117" s="1354"/>
      <c r="AC1117" s="1354"/>
      <c r="AD1117" s="1354"/>
      <c r="AE1117" s="1354"/>
      <c r="AF1117" s="1354"/>
    </row>
    <row r="1118" spans="26:32" x14ac:dyDescent="0.15">
      <c r="Z1118" s="1354"/>
      <c r="AA1118" s="1354"/>
      <c r="AB1118" s="1354"/>
      <c r="AC1118" s="1354"/>
      <c r="AD1118" s="1354"/>
      <c r="AE1118" s="1354"/>
      <c r="AF1118" s="1354"/>
    </row>
    <row r="1119" spans="26:32" x14ac:dyDescent="0.15">
      <c r="Z1119" s="1354"/>
      <c r="AA1119" s="1354"/>
      <c r="AB1119" s="1354"/>
      <c r="AC1119" s="1354"/>
      <c r="AD1119" s="1354"/>
      <c r="AE1119" s="1354"/>
      <c r="AF1119" s="1354"/>
    </row>
    <row r="1120" spans="26:32" x14ac:dyDescent="0.15">
      <c r="Z1120" s="1354"/>
      <c r="AA1120" s="1354"/>
      <c r="AB1120" s="1354"/>
      <c r="AC1120" s="1354"/>
      <c r="AD1120" s="1354"/>
      <c r="AE1120" s="1354"/>
      <c r="AF1120" s="1354"/>
    </row>
    <row r="1121" spans="26:32" x14ac:dyDescent="0.15">
      <c r="Z1121" s="1354"/>
      <c r="AA1121" s="1354"/>
      <c r="AB1121" s="1354"/>
      <c r="AC1121" s="1354"/>
      <c r="AD1121" s="1354"/>
      <c r="AE1121" s="1354"/>
      <c r="AF1121" s="1354"/>
    </row>
    <row r="1122" spans="26:32" x14ac:dyDescent="0.15">
      <c r="Z1122" s="1354"/>
      <c r="AA1122" s="1354"/>
      <c r="AB1122" s="1354"/>
      <c r="AC1122" s="1354"/>
      <c r="AD1122" s="1354"/>
      <c r="AE1122" s="1354"/>
      <c r="AF1122" s="1354"/>
    </row>
    <row r="1123" spans="26:32" x14ac:dyDescent="0.15">
      <c r="Z1123" s="1354"/>
      <c r="AA1123" s="1354"/>
      <c r="AB1123" s="1354"/>
      <c r="AC1123" s="1354"/>
      <c r="AD1123" s="1354"/>
      <c r="AE1123" s="1354"/>
      <c r="AF1123" s="1354"/>
    </row>
    <row r="1124" spans="26:32" x14ac:dyDescent="0.15">
      <c r="Z1124" s="1354"/>
      <c r="AA1124" s="1354"/>
      <c r="AB1124" s="1354"/>
      <c r="AC1124" s="1354"/>
      <c r="AD1124" s="1354"/>
      <c r="AE1124" s="1354"/>
      <c r="AF1124" s="1354"/>
    </row>
    <row r="1125" spans="26:32" x14ac:dyDescent="0.15">
      <c r="Z1125" s="1354"/>
      <c r="AA1125" s="1354"/>
      <c r="AB1125" s="1354"/>
      <c r="AC1125" s="1354"/>
      <c r="AD1125" s="1354"/>
      <c r="AE1125" s="1354"/>
      <c r="AF1125" s="1354"/>
    </row>
    <row r="1126" spans="26:32" x14ac:dyDescent="0.15">
      <c r="Z1126" s="1354"/>
      <c r="AA1126" s="1354"/>
      <c r="AB1126" s="1354"/>
      <c r="AC1126" s="1354"/>
      <c r="AD1126" s="1354"/>
      <c r="AE1126" s="1354"/>
      <c r="AF1126" s="1354"/>
    </row>
    <row r="1127" spans="26:32" x14ac:dyDescent="0.15">
      <c r="Z1127" s="1354"/>
      <c r="AA1127" s="1354"/>
      <c r="AB1127" s="1354"/>
      <c r="AC1127" s="1354"/>
      <c r="AD1127" s="1354"/>
      <c r="AE1127" s="1354"/>
      <c r="AF1127" s="1354"/>
    </row>
    <row r="1128" spans="26:32" x14ac:dyDescent="0.15">
      <c r="Z1128" s="1354"/>
      <c r="AA1128" s="1354"/>
      <c r="AB1128" s="1354"/>
      <c r="AC1128" s="1354"/>
      <c r="AD1128" s="1354"/>
      <c r="AE1128" s="1354"/>
      <c r="AF1128" s="1354"/>
    </row>
    <row r="1129" spans="26:32" x14ac:dyDescent="0.15">
      <c r="Z1129" s="1354"/>
      <c r="AA1129" s="1354"/>
      <c r="AB1129" s="1354"/>
      <c r="AC1129" s="1354"/>
      <c r="AD1129" s="1354"/>
      <c r="AE1129" s="1354"/>
      <c r="AF1129" s="1354"/>
    </row>
    <row r="1130" spans="26:32" x14ac:dyDescent="0.15">
      <c r="Z1130" s="1354"/>
      <c r="AA1130" s="1354"/>
      <c r="AB1130" s="1354"/>
      <c r="AC1130" s="1354"/>
      <c r="AD1130" s="1354"/>
      <c r="AE1130" s="1354"/>
      <c r="AF1130" s="1354"/>
    </row>
    <row r="1131" spans="26:32" x14ac:dyDescent="0.15">
      <c r="Z1131" s="1354"/>
      <c r="AA1131" s="1354"/>
      <c r="AB1131" s="1354"/>
      <c r="AC1131" s="1354"/>
      <c r="AD1131" s="1354"/>
      <c r="AE1131" s="1354"/>
      <c r="AF1131" s="1354"/>
    </row>
    <row r="1132" spans="26:32" x14ac:dyDescent="0.15">
      <c r="Z1132" s="1354"/>
      <c r="AA1132" s="1354"/>
      <c r="AB1132" s="1354"/>
      <c r="AC1132" s="1354"/>
      <c r="AD1132" s="1354"/>
      <c r="AE1132" s="1354"/>
      <c r="AF1132" s="1354"/>
    </row>
    <row r="1133" spans="26:32" x14ac:dyDescent="0.15">
      <c r="Z1133" s="1354"/>
      <c r="AA1133" s="1354"/>
      <c r="AB1133" s="1354"/>
      <c r="AC1133" s="1354"/>
      <c r="AD1133" s="1354"/>
      <c r="AE1133" s="1354"/>
      <c r="AF1133" s="1354"/>
    </row>
    <row r="1134" spans="26:32" x14ac:dyDescent="0.15">
      <c r="Z1134" s="1354"/>
      <c r="AA1134" s="1354"/>
      <c r="AB1134" s="1354"/>
      <c r="AC1134" s="1354"/>
      <c r="AD1134" s="1354"/>
      <c r="AE1134" s="1354"/>
      <c r="AF1134" s="1354"/>
    </row>
    <row r="1135" spans="26:32" x14ac:dyDescent="0.15">
      <c r="Z1135" s="1354"/>
      <c r="AA1135" s="1354"/>
      <c r="AB1135" s="1354"/>
      <c r="AC1135" s="1354"/>
      <c r="AD1135" s="1354"/>
      <c r="AE1135" s="1354"/>
      <c r="AF1135" s="1354"/>
    </row>
    <row r="1136" spans="26:32" x14ac:dyDescent="0.15">
      <c r="Z1136" s="1354"/>
      <c r="AA1136" s="1354"/>
      <c r="AB1136" s="1354"/>
      <c r="AC1136" s="1354"/>
      <c r="AD1136" s="1354"/>
      <c r="AE1136" s="1354"/>
      <c r="AF1136" s="1354"/>
    </row>
    <row r="1137" spans="26:32" x14ac:dyDescent="0.15">
      <c r="Z1137" s="1354"/>
      <c r="AA1137" s="1354"/>
      <c r="AB1137" s="1354"/>
      <c r="AC1137" s="1354"/>
      <c r="AD1137" s="1354"/>
      <c r="AE1137" s="1354"/>
      <c r="AF1137" s="1354"/>
    </row>
    <row r="1138" spans="26:32" x14ac:dyDescent="0.15">
      <c r="Z1138" s="1354"/>
      <c r="AA1138" s="1354"/>
      <c r="AB1138" s="1354"/>
      <c r="AC1138" s="1354"/>
      <c r="AD1138" s="1354"/>
      <c r="AE1138" s="1354"/>
      <c r="AF1138" s="1354"/>
    </row>
    <row r="1139" spans="26:32" x14ac:dyDescent="0.15">
      <c r="Z1139" s="1354"/>
      <c r="AA1139" s="1354"/>
      <c r="AB1139" s="1354"/>
      <c r="AC1139" s="1354"/>
      <c r="AD1139" s="1354"/>
      <c r="AE1139" s="1354"/>
      <c r="AF1139" s="1354"/>
    </row>
    <row r="1140" spans="26:32" x14ac:dyDescent="0.15">
      <c r="Z1140" s="1354"/>
      <c r="AA1140" s="1354"/>
      <c r="AB1140" s="1354"/>
      <c r="AC1140" s="1354"/>
      <c r="AD1140" s="1354"/>
      <c r="AE1140" s="1354"/>
      <c r="AF1140" s="1354"/>
    </row>
    <row r="1141" spans="26:32" x14ac:dyDescent="0.15">
      <c r="Z1141" s="1354"/>
      <c r="AA1141" s="1354"/>
      <c r="AB1141" s="1354"/>
      <c r="AC1141" s="1354"/>
      <c r="AD1141" s="1354"/>
      <c r="AE1141" s="1354"/>
      <c r="AF1141" s="1354"/>
    </row>
    <row r="1142" spans="26:32" x14ac:dyDescent="0.15">
      <c r="Z1142" s="1354"/>
      <c r="AA1142" s="1354"/>
      <c r="AB1142" s="1354"/>
      <c r="AC1142" s="1354"/>
      <c r="AD1142" s="1354"/>
      <c r="AE1142" s="1354"/>
      <c r="AF1142" s="1354"/>
    </row>
    <row r="1143" spans="26:32" x14ac:dyDescent="0.15">
      <c r="Z1143" s="1354"/>
      <c r="AA1143" s="1354"/>
      <c r="AB1143" s="1354"/>
      <c r="AC1143" s="1354"/>
      <c r="AD1143" s="1354"/>
      <c r="AE1143" s="1354"/>
      <c r="AF1143" s="1354"/>
    </row>
    <row r="1144" spans="26:32" x14ac:dyDescent="0.15">
      <c r="Z1144" s="1354"/>
      <c r="AA1144" s="1354"/>
      <c r="AB1144" s="1354"/>
      <c r="AC1144" s="1354"/>
      <c r="AD1144" s="1354"/>
      <c r="AE1144" s="1354"/>
      <c r="AF1144" s="1354"/>
    </row>
    <row r="1145" spans="26:32" x14ac:dyDescent="0.15">
      <c r="Z1145" s="1354"/>
      <c r="AA1145" s="1354"/>
      <c r="AB1145" s="1354"/>
      <c r="AC1145" s="1354"/>
      <c r="AD1145" s="1354"/>
      <c r="AE1145" s="1354"/>
      <c r="AF1145" s="1354"/>
    </row>
    <row r="1146" spans="26:32" x14ac:dyDescent="0.15">
      <c r="Z1146" s="1354"/>
      <c r="AA1146" s="1354"/>
      <c r="AB1146" s="1354"/>
      <c r="AC1146" s="1354"/>
      <c r="AD1146" s="1354"/>
      <c r="AE1146" s="1354"/>
      <c r="AF1146" s="1354"/>
    </row>
    <row r="1147" spans="26:32" x14ac:dyDescent="0.15">
      <c r="Z1147" s="1354"/>
      <c r="AA1147" s="1354"/>
      <c r="AB1147" s="1354"/>
      <c r="AC1147" s="1354"/>
      <c r="AD1147" s="1354"/>
      <c r="AE1147" s="1354"/>
      <c r="AF1147" s="1354"/>
    </row>
    <row r="1148" spans="26:32" x14ac:dyDescent="0.15">
      <c r="Z1148" s="1354"/>
      <c r="AA1148" s="1354"/>
      <c r="AB1148" s="1354"/>
      <c r="AC1148" s="1354"/>
      <c r="AD1148" s="1354"/>
      <c r="AE1148" s="1354"/>
      <c r="AF1148" s="1354"/>
    </row>
    <row r="1149" spans="26:32" x14ac:dyDescent="0.15">
      <c r="Z1149" s="1354"/>
      <c r="AA1149" s="1354"/>
      <c r="AB1149" s="1354"/>
      <c r="AC1149" s="1354"/>
      <c r="AD1149" s="1354"/>
      <c r="AE1149" s="1354"/>
      <c r="AF1149" s="1354"/>
    </row>
    <row r="1150" spans="26:32" x14ac:dyDescent="0.15">
      <c r="Z1150" s="1354"/>
      <c r="AA1150" s="1354"/>
      <c r="AB1150" s="1354"/>
      <c r="AC1150" s="1354"/>
      <c r="AD1150" s="1354"/>
      <c r="AE1150" s="1354"/>
      <c r="AF1150" s="1354"/>
    </row>
    <row r="1151" spans="26:32" x14ac:dyDescent="0.15">
      <c r="Z1151" s="1354"/>
      <c r="AA1151" s="1354"/>
      <c r="AB1151" s="1354"/>
      <c r="AC1151" s="1354"/>
      <c r="AD1151" s="1354"/>
      <c r="AE1151" s="1354"/>
      <c r="AF1151" s="1354"/>
    </row>
    <row r="1152" spans="26:32" x14ac:dyDescent="0.15">
      <c r="Z1152" s="1354"/>
      <c r="AA1152" s="1354"/>
      <c r="AB1152" s="1354"/>
      <c r="AC1152" s="1354"/>
      <c r="AD1152" s="1354"/>
      <c r="AE1152" s="1354"/>
      <c r="AF1152" s="1354"/>
    </row>
    <row r="1153" spans="26:32" x14ac:dyDescent="0.15">
      <c r="Z1153" s="1354"/>
      <c r="AA1153" s="1354"/>
      <c r="AB1153" s="1354"/>
      <c r="AC1153" s="1354"/>
      <c r="AD1153" s="1354"/>
      <c r="AE1153" s="1354"/>
      <c r="AF1153" s="1354"/>
    </row>
    <row r="1154" spans="26:32" x14ac:dyDescent="0.15">
      <c r="Z1154" s="1354"/>
      <c r="AA1154" s="1354"/>
      <c r="AB1154" s="1354"/>
      <c r="AC1154" s="1354"/>
      <c r="AD1154" s="1354"/>
      <c r="AE1154" s="1354"/>
      <c r="AF1154" s="1354"/>
    </row>
    <row r="1155" spans="26:32" x14ac:dyDescent="0.15">
      <c r="Z1155" s="1354"/>
      <c r="AA1155" s="1354"/>
      <c r="AB1155" s="1354"/>
      <c r="AC1155" s="1354"/>
      <c r="AD1155" s="1354"/>
      <c r="AE1155" s="1354"/>
      <c r="AF1155" s="1354"/>
    </row>
    <row r="1156" spans="26:32" x14ac:dyDescent="0.15">
      <c r="Z1156" s="1354"/>
      <c r="AA1156" s="1354"/>
      <c r="AB1156" s="1354"/>
      <c r="AC1156" s="1354"/>
      <c r="AD1156" s="1354"/>
      <c r="AE1156" s="1354"/>
      <c r="AF1156" s="1354"/>
    </row>
    <row r="1157" spans="26:32" x14ac:dyDescent="0.15">
      <c r="Z1157" s="1354"/>
      <c r="AA1157" s="1354"/>
      <c r="AB1157" s="1354"/>
      <c r="AC1157" s="1354"/>
      <c r="AD1157" s="1354"/>
      <c r="AE1157" s="1354"/>
      <c r="AF1157" s="1354"/>
    </row>
    <row r="1158" spans="26:32" x14ac:dyDescent="0.15">
      <c r="Z1158" s="1354"/>
      <c r="AA1158" s="1354"/>
      <c r="AB1158" s="1354"/>
      <c r="AC1158" s="1354"/>
      <c r="AD1158" s="1354"/>
      <c r="AE1158" s="1354"/>
      <c r="AF1158" s="1354"/>
    </row>
    <row r="1159" spans="26:32" x14ac:dyDescent="0.15">
      <c r="Z1159" s="1354"/>
      <c r="AA1159" s="1354"/>
      <c r="AB1159" s="1354"/>
      <c r="AC1159" s="1354"/>
      <c r="AD1159" s="1354"/>
      <c r="AE1159" s="1354"/>
      <c r="AF1159" s="1354"/>
    </row>
    <row r="1160" spans="26:32" x14ac:dyDescent="0.15">
      <c r="Z1160" s="1354"/>
      <c r="AA1160" s="1354"/>
      <c r="AB1160" s="1354"/>
      <c r="AC1160" s="1354"/>
      <c r="AD1160" s="1354"/>
      <c r="AE1160" s="1354"/>
      <c r="AF1160" s="1354"/>
    </row>
    <row r="1161" spans="26:32" x14ac:dyDescent="0.15">
      <c r="Z1161" s="1354"/>
      <c r="AA1161" s="1354"/>
      <c r="AB1161" s="1354"/>
      <c r="AC1161" s="1354"/>
      <c r="AD1161" s="1354"/>
      <c r="AE1161" s="1354"/>
      <c r="AF1161" s="1354"/>
    </row>
    <row r="1162" spans="26:32" x14ac:dyDescent="0.15">
      <c r="Z1162" s="1354"/>
      <c r="AA1162" s="1354"/>
      <c r="AB1162" s="1354"/>
      <c r="AC1162" s="1354"/>
      <c r="AD1162" s="1354"/>
      <c r="AE1162" s="1354"/>
      <c r="AF1162" s="1354"/>
    </row>
    <row r="1163" spans="26:32" x14ac:dyDescent="0.15">
      <c r="Z1163" s="1354"/>
      <c r="AA1163" s="1354"/>
      <c r="AB1163" s="1354"/>
      <c r="AC1163" s="1354"/>
      <c r="AD1163" s="1354"/>
      <c r="AE1163" s="1354"/>
      <c r="AF1163" s="1354"/>
    </row>
    <row r="1164" spans="26:32" x14ac:dyDescent="0.15">
      <c r="Z1164" s="1354"/>
      <c r="AA1164" s="1354"/>
      <c r="AB1164" s="1354"/>
      <c r="AC1164" s="1354"/>
      <c r="AD1164" s="1354"/>
      <c r="AE1164" s="1354"/>
      <c r="AF1164" s="1354"/>
    </row>
    <row r="1165" spans="26:32" x14ac:dyDescent="0.15">
      <c r="Z1165" s="1354"/>
      <c r="AA1165" s="1354"/>
      <c r="AB1165" s="1354"/>
      <c r="AC1165" s="1354"/>
      <c r="AD1165" s="1354"/>
      <c r="AE1165" s="1354"/>
      <c r="AF1165" s="1354"/>
    </row>
    <row r="1166" spans="26:32" x14ac:dyDescent="0.15">
      <c r="Z1166" s="1354"/>
      <c r="AA1166" s="1354"/>
      <c r="AB1166" s="1354"/>
      <c r="AC1166" s="1354"/>
      <c r="AD1166" s="1354"/>
      <c r="AE1166" s="1354"/>
      <c r="AF1166" s="1354"/>
    </row>
    <row r="1167" spans="26:32" x14ac:dyDescent="0.15">
      <c r="Z1167" s="1354"/>
      <c r="AA1167" s="1354"/>
      <c r="AB1167" s="1354"/>
      <c r="AC1167" s="1354"/>
      <c r="AD1167" s="1354"/>
      <c r="AE1167" s="1354"/>
      <c r="AF1167" s="1354"/>
    </row>
    <row r="1168" spans="26:32" x14ac:dyDescent="0.15">
      <c r="Z1168" s="1354"/>
      <c r="AA1168" s="1354"/>
      <c r="AB1168" s="1354"/>
      <c r="AC1168" s="1354"/>
      <c r="AD1168" s="1354"/>
      <c r="AE1168" s="1354"/>
      <c r="AF1168" s="1354"/>
    </row>
    <row r="1169" spans="26:32" x14ac:dyDescent="0.15">
      <c r="Z1169" s="1354"/>
      <c r="AA1169" s="1354"/>
      <c r="AB1169" s="1354"/>
      <c r="AC1169" s="1354"/>
      <c r="AD1169" s="1354"/>
      <c r="AE1169" s="1354"/>
      <c r="AF1169" s="1354"/>
    </row>
    <row r="1170" spans="26:32" x14ac:dyDescent="0.15">
      <c r="Z1170" s="1354"/>
      <c r="AA1170" s="1354"/>
      <c r="AB1170" s="1354"/>
      <c r="AC1170" s="1354"/>
      <c r="AD1170" s="1354"/>
      <c r="AE1170" s="1354"/>
      <c r="AF1170" s="1354"/>
    </row>
    <row r="1171" spans="26:32" x14ac:dyDescent="0.15">
      <c r="Z1171" s="1354"/>
      <c r="AA1171" s="1354"/>
      <c r="AB1171" s="1354"/>
      <c r="AC1171" s="1354"/>
      <c r="AD1171" s="1354"/>
      <c r="AE1171" s="1354"/>
      <c r="AF1171" s="1354"/>
    </row>
    <row r="1172" spans="26:32" x14ac:dyDescent="0.15">
      <c r="Z1172" s="1354"/>
      <c r="AA1172" s="1354"/>
      <c r="AB1172" s="1354"/>
      <c r="AC1172" s="1354"/>
      <c r="AD1172" s="1354"/>
      <c r="AE1172" s="1354"/>
      <c r="AF1172" s="1354"/>
    </row>
    <row r="1173" spans="26:32" x14ac:dyDescent="0.15">
      <c r="Z1173" s="1354"/>
      <c r="AA1173" s="1354"/>
      <c r="AB1173" s="1354"/>
      <c r="AC1173" s="1354"/>
      <c r="AD1173" s="1354"/>
      <c r="AE1173" s="1354"/>
      <c r="AF1173" s="1354"/>
    </row>
    <row r="1174" spans="26:32" x14ac:dyDescent="0.15">
      <c r="Z1174" s="1354"/>
      <c r="AA1174" s="1354"/>
      <c r="AB1174" s="1354"/>
      <c r="AC1174" s="1354"/>
      <c r="AD1174" s="1354"/>
      <c r="AE1174" s="1354"/>
      <c r="AF1174" s="1354"/>
    </row>
    <row r="1175" spans="26:32" x14ac:dyDescent="0.15">
      <c r="Z1175" s="1354"/>
      <c r="AA1175" s="1354"/>
      <c r="AB1175" s="1354"/>
      <c r="AC1175" s="1354"/>
      <c r="AD1175" s="1354"/>
      <c r="AE1175" s="1354"/>
      <c r="AF1175" s="1354"/>
    </row>
    <row r="1176" spans="26:32" x14ac:dyDescent="0.15">
      <c r="Z1176" s="1354"/>
      <c r="AA1176" s="1354"/>
      <c r="AB1176" s="1354"/>
      <c r="AC1176" s="1354"/>
      <c r="AD1176" s="1354"/>
      <c r="AE1176" s="1354"/>
      <c r="AF1176" s="1354"/>
    </row>
    <row r="1177" spans="26:32" x14ac:dyDescent="0.15">
      <c r="Z1177" s="1354"/>
      <c r="AA1177" s="1354"/>
      <c r="AB1177" s="1354"/>
      <c r="AC1177" s="1354"/>
      <c r="AD1177" s="1354"/>
      <c r="AE1177" s="1354"/>
      <c r="AF1177" s="1354"/>
    </row>
    <row r="1178" spans="26:32" x14ac:dyDescent="0.15">
      <c r="Z1178" s="1354"/>
      <c r="AA1178" s="1354"/>
      <c r="AB1178" s="1354"/>
      <c r="AC1178" s="1354"/>
      <c r="AD1178" s="1354"/>
      <c r="AE1178" s="1354"/>
      <c r="AF1178" s="1354"/>
    </row>
    <row r="1179" spans="26:32" x14ac:dyDescent="0.15">
      <c r="Z1179" s="1354"/>
      <c r="AA1179" s="1354"/>
      <c r="AB1179" s="1354"/>
      <c r="AC1179" s="1354"/>
      <c r="AD1179" s="1354"/>
      <c r="AE1179" s="1354"/>
      <c r="AF1179" s="1354"/>
    </row>
    <row r="1180" spans="26:32" x14ac:dyDescent="0.15">
      <c r="Z1180" s="1354"/>
      <c r="AA1180" s="1354"/>
      <c r="AB1180" s="1354"/>
      <c r="AC1180" s="1354"/>
      <c r="AD1180" s="1354"/>
      <c r="AE1180" s="1354"/>
      <c r="AF1180" s="1354"/>
    </row>
    <row r="1181" spans="26:32" x14ac:dyDescent="0.15">
      <c r="Z1181" s="1354"/>
      <c r="AA1181" s="1354"/>
      <c r="AB1181" s="1354"/>
      <c r="AC1181" s="1354"/>
      <c r="AD1181" s="1354"/>
      <c r="AE1181" s="1354"/>
      <c r="AF1181" s="1354"/>
    </row>
    <row r="1182" spans="26:32" x14ac:dyDescent="0.15">
      <c r="Z1182" s="1354"/>
      <c r="AA1182" s="1354"/>
      <c r="AB1182" s="1354"/>
      <c r="AC1182" s="1354"/>
      <c r="AD1182" s="1354"/>
      <c r="AE1182" s="1354"/>
      <c r="AF1182" s="1354"/>
    </row>
    <row r="1183" spans="26:32" x14ac:dyDescent="0.15">
      <c r="Z1183" s="1354"/>
      <c r="AA1183" s="1354"/>
      <c r="AB1183" s="1354"/>
      <c r="AC1183" s="1354"/>
      <c r="AD1183" s="1354"/>
      <c r="AE1183" s="1354"/>
      <c r="AF1183" s="1354"/>
    </row>
    <row r="1184" spans="26:32" x14ac:dyDescent="0.15">
      <c r="Z1184" s="1354"/>
      <c r="AA1184" s="1354"/>
      <c r="AB1184" s="1354"/>
      <c r="AC1184" s="1354"/>
      <c r="AD1184" s="1354"/>
      <c r="AE1184" s="1354"/>
      <c r="AF1184" s="1354"/>
    </row>
    <row r="1185" spans="26:32" x14ac:dyDescent="0.15">
      <c r="Z1185" s="1354"/>
      <c r="AA1185" s="1354"/>
      <c r="AB1185" s="1354"/>
      <c r="AC1185" s="1354"/>
      <c r="AD1185" s="1354"/>
      <c r="AE1185" s="1354"/>
      <c r="AF1185" s="1354"/>
    </row>
    <row r="1186" spans="26:32" x14ac:dyDescent="0.15">
      <c r="Z1186" s="1354"/>
      <c r="AA1186" s="1354"/>
      <c r="AB1186" s="1354"/>
      <c r="AC1186" s="1354"/>
      <c r="AD1186" s="1354"/>
      <c r="AE1186" s="1354"/>
      <c r="AF1186" s="1354"/>
    </row>
    <row r="1187" spans="26:32" x14ac:dyDescent="0.15">
      <c r="Z1187" s="1354"/>
      <c r="AA1187" s="1354"/>
      <c r="AB1187" s="1354"/>
      <c r="AC1187" s="1354"/>
      <c r="AD1187" s="1354"/>
      <c r="AE1187" s="1354"/>
      <c r="AF1187" s="1354"/>
    </row>
    <row r="1188" spans="26:32" x14ac:dyDescent="0.15">
      <c r="Z1188" s="1354"/>
      <c r="AA1188" s="1354"/>
      <c r="AB1188" s="1354"/>
      <c r="AC1188" s="1354"/>
      <c r="AD1188" s="1354"/>
      <c r="AE1188" s="1354"/>
      <c r="AF1188" s="1354"/>
    </row>
    <row r="1189" spans="26:32" x14ac:dyDescent="0.15">
      <c r="Z1189" s="1354"/>
      <c r="AA1189" s="1354"/>
      <c r="AB1189" s="1354"/>
      <c r="AC1189" s="1354"/>
      <c r="AD1189" s="1354"/>
      <c r="AE1189" s="1354"/>
      <c r="AF1189" s="1354"/>
    </row>
    <row r="1190" spans="26:32" x14ac:dyDescent="0.15">
      <c r="Z1190" s="1354"/>
      <c r="AA1190" s="1354"/>
      <c r="AB1190" s="1354"/>
      <c r="AC1190" s="1354"/>
      <c r="AD1190" s="1354"/>
      <c r="AE1190" s="1354"/>
      <c r="AF1190" s="1354"/>
    </row>
    <row r="1191" spans="26:32" x14ac:dyDescent="0.15">
      <c r="Z1191" s="1354"/>
      <c r="AA1191" s="1354"/>
      <c r="AB1191" s="1354"/>
      <c r="AC1191" s="1354"/>
      <c r="AD1191" s="1354"/>
      <c r="AE1191" s="1354"/>
      <c r="AF1191" s="1354"/>
    </row>
    <row r="1192" spans="26:32" x14ac:dyDescent="0.15">
      <c r="Z1192" s="1354"/>
      <c r="AA1192" s="1354"/>
      <c r="AB1192" s="1354"/>
      <c r="AC1192" s="1354"/>
      <c r="AD1192" s="1354"/>
      <c r="AE1192" s="1354"/>
      <c r="AF1192" s="1354"/>
    </row>
    <row r="1193" spans="26:32" x14ac:dyDescent="0.15">
      <c r="Z1193" s="1354"/>
      <c r="AA1193" s="1354"/>
      <c r="AB1193" s="1354"/>
      <c r="AC1193" s="1354"/>
      <c r="AD1193" s="1354"/>
      <c r="AE1193" s="1354"/>
      <c r="AF1193" s="1354"/>
    </row>
    <row r="1194" spans="26:32" x14ac:dyDescent="0.15">
      <c r="Z1194" s="1354"/>
      <c r="AA1194" s="1354"/>
      <c r="AB1194" s="1354"/>
      <c r="AC1194" s="1354"/>
      <c r="AD1194" s="1354"/>
      <c r="AE1194" s="1354"/>
      <c r="AF1194" s="1354"/>
    </row>
    <row r="1195" spans="26:32" x14ac:dyDescent="0.15">
      <c r="Z1195" s="1354"/>
      <c r="AA1195" s="1354"/>
      <c r="AB1195" s="1354"/>
      <c r="AC1195" s="1354"/>
      <c r="AD1195" s="1354"/>
      <c r="AE1195" s="1354"/>
      <c r="AF1195" s="1354"/>
    </row>
    <row r="1196" spans="26:32" x14ac:dyDescent="0.15">
      <c r="Z1196" s="1354"/>
      <c r="AA1196" s="1354"/>
      <c r="AB1196" s="1354"/>
      <c r="AC1196" s="1354"/>
      <c r="AD1196" s="1354"/>
      <c r="AE1196" s="1354"/>
      <c r="AF1196" s="1354"/>
    </row>
    <row r="1197" spans="26:32" x14ac:dyDescent="0.15">
      <c r="Z1197" s="1354"/>
      <c r="AA1197" s="1354"/>
      <c r="AB1197" s="1354"/>
      <c r="AC1197" s="1354"/>
      <c r="AD1197" s="1354"/>
      <c r="AE1197" s="1354"/>
      <c r="AF1197" s="1354"/>
    </row>
    <row r="1198" spans="26:32" x14ac:dyDescent="0.15">
      <c r="Z1198" s="1354"/>
      <c r="AA1198" s="1354"/>
      <c r="AB1198" s="1354"/>
      <c r="AC1198" s="1354"/>
      <c r="AD1198" s="1354"/>
      <c r="AE1198" s="1354"/>
      <c r="AF1198" s="1354"/>
    </row>
    <row r="1199" spans="26:32" x14ac:dyDescent="0.15">
      <c r="Z1199" s="1354"/>
      <c r="AA1199" s="1354"/>
      <c r="AB1199" s="1354"/>
      <c r="AC1199" s="1354"/>
      <c r="AD1199" s="1354"/>
      <c r="AE1199" s="1354"/>
      <c r="AF1199" s="1354"/>
    </row>
    <row r="1200" spans="26:32" x14ac:dyDescent="0.15">
      <c r="Z1200" s="1354"/>
      <c r="AA1200" s="1354"/>
      <c r="AB1200" s="1354"/>
      <c r="AC1200" s="1354"/>
      <c r="AD1200" s="1354"/>
      <c r="AE1200" s="1354"/>
      <c r="AF1200" s="1354"/>
    </row>
    <row r="1201" spans="26:32" x14ac:dyDescent="0.15">
      <c r="Z1201" s="1354"/>
      <c r="AA1201" s="1354"/>
      <c r="AB1201" s="1354"/>
      <c r="AC1201" s="1354"/>
      <c r="AD1201" s="1354"/>
      <c r="AE1201" s="1354"/>
      <c r="AF1201" s="1354"/>
    </row>
    <row r="1202" spans="26:32" x14ac:dyDescent="0.15">
      <c r="Z1202" s="1354"/>
      <c r="AA1202" s="1354"/>
      <c r="AB1202" s="1354"/>
      <c r="AC1202" s="1354"/>
      <c r="AD1202" s="1354"/>
      <c r="AE1202" s="1354"/>
      <c r="AF1202" s="1354"/>
    </row>
    <row r="1203" spans="26:32" x14ac:dyDescent="0.15">
      <c r="Z1203" s="1354"/>
      <c r="AA1203" s="1354"/>
      <c r="AB1203" s="1354"/>
      <c r="AC1203" s="1354"/>
      <c r="AD1203" s="1354"/>
      <c r="AE1203" s="1354"/>
      <c r="AF1203" s="1354"/>
    </row>
    <row r="1204" spans="26:32" x14ac:dyDescent="0.15">
      <c r="Z1204" s="1354"/>
      <c r="AA1204" s="1354"/>
      <c r="AB1204" s="1354"/>
      <c r="AC1204" s="1354"/>
      <c r="AD1204" s="1354"/>
      <c r="AE1204" s="1354"/>
      <c r="AF1204" s="1354"/>
    </row>
    <row r="1205" spans="26:32" x14ac:dyDescent="0.15">
      <c r="Z1205" s="1354"/>
      <c r="AA1205" s="1354"/>
      <c r="AB1205" s="1354"/>
      <c r="AC1205" s="1354"/>
      <c r="AD1205" s="1354"/>
      <c r="AE1205" s="1354"/>
      <c r="AF1205" s="1354"/>
    </row>
    <row r="1206" spans="26:32" x14ac:dyDescent="0.15">
      <c r="Z1206" s="1354"/>
      <c r="AA1206" s="1354"/>
      <c r="AB1206" s="1354"/>
      <c r="AC1206" s="1354"/>
      <c r="AD1206" s="1354"/>
      <c r="AE1206" s="1354"/>
      <c r="AF1206" s="1354"/>
    </row>
    <row r="1207" spans="26:32" x14ac:dyDescent="0.15">
      <c r="Z1207" s="1354"/>
      <c r="AA1207" s="1354"/>
      <c r="AB1207" s="1354"/>
      <c r="AC1207" s="1354"/>
      <c r="AD1207" s="1354"/>
      <c r="AE1207" s="1354"/>
      <c r="AF1207" s="1354"/>
    </row>
    <row r="1208" spans="26:32" x14ac:dyDescent="0.15">
      <c r="Z1208" s="1354"/>
      <c r="AA1208" s="1354"/>
      <c r="AB1208" s="1354"/>
      <c r="AC1208" s="1354"/>
      <c r="AD1208" s="1354"/>
      <c r="AE1208" s="1354"/>
      <c r="AF1208" s="1354"/>
    </row>
    <row r="1209" spans="26:32" x14ac:dyDescent="0.15">
      <c r="Z1209" s="1354"/>
      <c r="AA1209" s="1354"/>
      <c r="AB1209" s="1354"/>
      <c r="AC1209" s="1354"/>
      <c r="AD1209" s="1354"/>
      <c r="AE1209" s="1354"/>
      <c r="AF1209" s="1354"/>
    </row>
    <row r="1210" spans="26:32" x14ac:dyDescent="0.15">
      <c r="Z1210" s="1354"/>
      <c r="AA1210" s="1354"/>
      <c r="AB1210" s="1354"/>
      <c r="AC1210" s="1354"/>
      <c r="AD1210" s="1354"/>
      <c r="AE1210" s="1354"/>
      <c r="AF1210" s="1354"/>
    </row>
    <row r="1211" spans="26:32" x14ac:dyDescent="0.15">
      <c r="Z1211" s="1354"/>
      <c r="AA1211" s="1354"/>
      <c r="AB1211" s="1354"/>
      <c r="AC1211" s="1354"/>
      <c r="AD1211" s="1354"/>
      <c r="AE1211" s="1354"/>
      <c r="AF1211" s="1354"/>
    </row>
    <row r="1212" spans="26:32" x14ac:dyDescent="0.15">
      <c r="Z1212" s="1354"/>
      <c r="AA1212" s="1354"/>
      <c r="AB1212" s="1354"/>
      <c r="AC1212" s="1354"/>
      <c r="AD1212" s="1354"/>
      <c r="AE1212" s="1354"/>
      <c r="AF1212" s="1354"/>
    </row>
    <row r="1213" spans="26:32" x14ac:dyDescent="0.15">
      <c r="Z1213" s="1354"/>
      <c r="AA1213" s="1354"/>
      <c r="AB1213" s="1354"/>
      <c r="AC1213" s="1354"/>
      <c r="AD1213" s="1354"/>
      <c r="AE1213" s="1354"/>
      <c r="AF1213" s="1354"/>
    </row>
    <row r="1214" spans="26:32" x14ac:dyDescent="0.15">
      <c r="Z1214" s="1354"/>
      <c r="AA1214" s="1354"/>
      <c r="AB1214" s="1354"/>
      <c r="AC1214" s="1354"/>
      <c r="AD1214" s="1354"/>
      <c r="AE1214" s="1354"/>
      <c r="AF1214" s="1354"/>
    </row>
    <row r="1215" spans="26:32" x14ac:dyDescent="0.15">
      <c r="Z1215" s="1354"/>
      <c r="AA1215" s="1354"/>
      <c r="AB1215" s="1354"/>
      <c r="AC1215" s="1354"/>
      <c r="AD1215" s="1354"/>
      <c r="AE1215" s="1354"/>
      <c r="AF1215" s="1354"/>
    </row>
    <row r="1216" spans="26:32" x14ac:dyDescent="0.15">
      <c r="Z1216" s="1354"/>
      <c r="AA1216" s="1354"/>
      <c r="AB1216" s="1354"/>
      <c r="AC1216" s="1354"/>
      <c r="AD1216" s="1354"/>
      <c r="AE1216" s="1354"/>
      <c r="AF1216" s="1354"/>
    </row>
    <row r="1217" spans="26:32" x14ac:dyDescent="0.15">
      <c r="Z1217" s="1354"/>
      <c r="AA1217" s="1354"/>
      <c r="AB1217" s="1354"/>
      <c r="AC1217" s="1354"/>
      <c r="AD1217" s="1354"/>
      <c r="AE1217" s="1354"/>
      <c r="AF1217" s="1354"/>
    </row>
    <row r="1218" spans="26:32" x14ac:dyDescent="0.15">
      <c r="Z1218" s="1354"/>
      <c r="AA1218" s="1354"/>
      <c r="AB1218" s="1354"/>
      <c r="AC1218" s="1354"/>
      <c r="AD1218" s="1354"/>
      <c r="AE1218" s="1354"/>
      <c r="AF1218" s="1354"/>
    </row>
    <row r="1219" spans="26:32" x14ac:dyDescent="0.15">
      <c r="Z1219" s="1354"/>
      <c r="AA1219" s="1354"/>
      <c r="AB1219" s="1354"/>
      <c r="AC1219" s="1354"/>
      <c r="AD1219" s="1354"/>
      <c r="AE1219" s="1354"/>
      <c r="AF1219" s="1354"/>
    </row>
    <row r="1220" spans="26:32" x14ac:dyDescent="0.15">
      <c r="Z1220" s="1354"/>
      <c r="AA1220" s="1354"/>
      <c r="AB1220" s="1354"/>
      <c r="AC1220" s="1354"/>
      <c r="AD1220" s="1354"/>
      <c r="AE1220" s="1354"/>
      <c r="AF1220" s="1354"/>
    </row>
    <row r="1221" spans="26:32" x14ac:dyDescent="0.15">
      <c r="Z1221" s="1354"/>
      <c r="AA1221" s="1354"/>
      <c r="AB1221" s="1354"/>
      <c r="AC1221" s="1354"/>
      <c r="AD1221" s="1354"/>
      <c r="AE1221" s="1354"/>
      <c r="AF1221" s="1354"/>
    </row>
    <row r="1222" spans="26:32" x14ac:dyDescent="0.15">
      <c r="Z1222" s="1354"/>
      <c r="AA1222" s="1354"/>
      <c r="AB1222" s="1354"/>
      <c r="AC1222" s="1354"/>
      <c r="AD1222" s="1354"/>
      <c r="AE1222" s="1354"/>
      <c r="AF1222" s="1354"/>
    </row>
    <row r="1223" spans="26:32" x14ac:dyDescent="0.15">
      <c r="Z1223" s="1354"/>
      <c r="AA1223" s="1354"/>
      <c r="AB1223" s="1354"/>
      <c r="AC1223" s="1354"/>
      <c r="AD1223" s="1354"/>
      <c r="AE1223" s="1354"/>
      <c r="AF1223" s="1354"/>
    </row>
    <row r="1224" spans="26:32" x14ac:dyDescent="0.15">
      <c r="Z1224" s="1354"/>
      <c r="AA1224" s="1354"/>
      <c r="AB1224" s="1354"/>
      <c r="AC1224" s="1354"/>
      <c r="AD1224" s="1354"/>
      <c r="AE1224" s="1354"/>
      <c r="AF1224" s="1354"/>
    </row>
    <row r="1225" spans="26:32" x14ac:dyDescent="0.15">
      <c r="Z1225" s="1354"/>
      <c r="AA1225" s="1354"/>
      <c r="AB1225" s="1354"/>
      <c r="AC1225" s="1354"/>
      <c r="AD1225" s="1354"/>
      <c r="AE1225" s="1354"/>
      <c r="AF1225" s="1354"/>
    </row>
    <row r="1226" spans="26:32" x14ac:dyDescent="0.15">
      <c r="Z1226" s="1354"/>
      <c r="AA1226" s="1354"/>
      <c r="AB1226" s="1354"/>
      <c r="AC1226" s="1354"/>
      <c r="AD1226" s="1354"/>
      <c r="AE1226" s="1354"/>
      <c r="AF1226" s="1354"/>
    </row>
    <row r="1227" spans="26:32" x14ac:dyDescent="0.15">
      <c r="Z1227" s="1354"/>
      <c r="AA1227" s="1354"/>
      <c r="AB1227" s="1354"/>
      <c r="AC1227" s="1354"/>
      <c r="AD1227" s="1354"/>
      <c r="AE1227" s="1354"/>
      <c r="AF1227" s="1354"/>
    </row>
    <row r="1228" spans="26:32" x14ac:dyDescent="0.15">
      <c r="Z1228" s="1354"/>
      <c r="AA1228" s="1354"/>
      <c r="AB1228" s="1354"/>
      <c r="AC1228" s="1354"/>
      <c r="AD1228" s="1354"/>
      <c r="AE1228" s="1354"/>
      <c r="AF1228" s="1354"/>
    </row>
    <row r="1229" spans="26:32" x14ac:dyDescent="0.15">
      <c r="Z1229" s="1354"/>
      <c r="AA1229" s="1354"/>
      <c r="AB1229" s="1354"/>
      <c r="AC1229" s="1354"/>
      <c r="AD1229" s="1354"/>
      <c r="AE1229" s="1354"/>
      <c r="AF1229" s="1354"/>
    </row>
    <row r="1230" spans="26:32" x14ac:dyDescent="0.15">
      <c r="Z1230" s="1354"/>
      <c r="AA1230" s="1354"/>
      <c r="AB1230" s="1354"/>
      <c r="AC1230" s="1354"/>
      <c r="AD1230" s="1354"/>
      <c r="AE1230" s="1354"/>
      <c r="AF1230" s="1354"/>
    </row>
    <row r="1231" spans="26:32" x14ac:dyDescent="0.15">
      <c r="Z1231" s="1354"/>
      <c r="AA1231" s="1354"/>
      <c r="AB1231" s="1354"/>
      <c r="AC1231" s="1354"/>
      <c r="AD1231" s="1354"/>
      <c r="AE1231" s="1354"/>
      <c r="AF1231" s="1354"/>
    </row>
    <row r="1232" spans="26:32" x14ac:dyDescent="0.15">
      <c r="Z1232" s="1354"/>
      <c r="AA1232" s="1354"/>
      <c r="AB1232" s="1354"/>
      <c r="AC1232" s="1354"/>
      <c r="AD1232" s="1354"/>
      <c r="AE1232" s="1354"/>
      <c r="AF1232" s="1354"/>
    </row>
    <row r="1233" spans="26:32" x14ac:dyDescent="0.15">
      <c r="Z1233" s="1354"/>
      <c r="AA1233" s="1354"/>
      <c r="AB1233" s="1354"/>
      <c r="AC1233" s="1354"/>
      <c r="AD1233" s="1354"/>
      <c r="AE1233" s="1354"/>
      <c r="AF1233" s="1354"/>
    </row>
    <row r="1234" spans="26:32" x14ac:dyDescent="0.15">
      <c r="Z1234" s="1354"/>
      <c r="AA1234" s="1354"/>
      <c r="AB1234" s="1354"/>
      <c r="AC1234" s="1354"/>
      <c r="AD1234" s="1354"/>
      <c r="AE1234" s="1354"/>
      <c r="AF1234" s="1354"/>
    </row>
    <row r="1235" spans="26:32" x14ac:dyDescent="0.15">
      <c r="Z1235" s="1354"/>
      <c r="AA1235" s="1354"/>
      <c r="AB1235" s="1354"/>
      <c r="AC1235" s="1354"/>
      <c r="AD1235" s="1354"/>
      <c r="AE1235" s="1354"/>
      <c r="AF1235" s="1354"/>
    </row>
    <row r="1236" spans="26:32" x14ac:dyDescent="0.15">
      <c r="Z1236" s="1354"/>
      <c r="AA1236" s="1354"/>
      <c r="AB1236" s="1354"/>
      <c r="AC1236" s="1354"/>
      <c r="AD1236" s="1354"/>
      <c r="AE1236" s="1354"/>
      <c r="AF1236" s="1354"/>
    </row>
    <row r="1237" spans="26:32" x14ac:dyDescent="0.15">
      <c r="Z1237" s="1354"/>
      <c r="AA1237" s="1354"/>
      <c r="AB1237" s="1354"/>
      <c r="AC1237" s="1354"/>
      <c r="AD1237" s="1354"/>
      <c r="AE1237" s="1354"/>
      <c r="AF1237" s="1354"/>
    </row>
    <row r="1238" spans="26:32" x14ac:dyDescent="0.15">
      <c r="Z1238" s="1354"/>
      <c r="AA1238" s="1354"/>
      <c r="AB1238" s="1354"/>
      <c r="AC1238" s="1354"/>
      <c r="AD1238" s="1354"/>
      <c r="AE1238" s="1354"/>
      <c r="AF1238" s="1354"/>
    </row>
    <row r="1239" spans="26:32" x14ac:dyDescent="0.15">
      <c r="Z1239" s="1354"/>
      <c r="AA1239" s="1354"/>
      <c r="AB1239" s="1354"/>
      <c r="AC1239" s="1354"/>
      <c r="AD1239" s="1354"/>
      <c r="AE1239" s="1354"/>
      <c r="AF1239" s="1354"/>
    </row>
    <row r="1240" spans="26:32" x14ac:dyDescent="0.15">
      <c r="Z1240" s="1354"/>
      <c r="AA1240" s="1354"/>
      <c r="AB1240" s="1354"/>
      <c r="AC1240" s="1354"/>
      <c r="AD1240" s="1354"/>
      <c r="AE1240" s="1354"/>
      <c r="AF1240" s="1354"/>
    </row>
    <row r="1241" spans="26:32" x14ac:dyDescent="0.15">
      <c r="Z1241" s="1354"/>
      <c r="AA1241" s="1354"/>
      <c r="AB1241" s="1354"/>
      <c r="AC1241" s="1354"/>
      <c r="AD1241" s="1354"/>
      <c r="AE1241" s="1354"/>
      <c r="AF1241" s="1354"/>
    </row>
    <row r="1242" spans="26:32" x14ac:dyDescent="0.15">
      <c r="Z1242" s="1354"/>
      <c r="AA1242" s="1354"/>
      <c r="AB1242" s="1354"/>
      <c r="AC1242" s="1354"/>
      <c r="AD1242" s="1354"/>
      <c r="AE1242" s="1354"/>
      <c r="AF1242" s="1354"/>
    </row>
    <row r="1243" spans="26:32" x14ac:dyDescent="0.15">
      <c r="Z1243" s="1354"/>
      <c r="AA1243" s="1354"/>
      <c r="AB1243" s="1354"/>
      <c r="AC1243" s="1354"/>
      <c r="AD1243" s="1354"/>
      <c r="AE1243" s="1354"/>
      <c r="AF1243" s="1354"/>
    </row>
    <row r="1244" spans="26:32" x14ac:dyDescent="0.15">
      <c r="Z1244" s="1354"/>
      <c r="AA1244" s="1354"/>
      <c r="AB1244" s="1354"/>
      <c r="AC1244" s="1354"/>
      <c r="AD1244" s="1354"/>
      <c r="AE1244" s="1354"/>
      <c r="AF1244" s="1354"/>
    </row>
    <row r="1245" spans="26:32" x14ac:dyDescent="0.15">
      <c r="Z1245" s="1354"/>
      <c r="AA1245" s="1354"/>
      <c r="AB1245" s="1354"/>
      <c r="AC1245" s="1354"/>
      <c r="AD1245" s="1354"/>
      <c r="AE1245" s="1354"/>
      <c r="AF1245" s="1354"/>
    </row>
    <row r="1246" spans="26:32" x14ac:dyDescent="0.15">
      <c r="Z1246" s="1354"/>
      <c r="AA1246" s="1354"/>
      <c r="AB1246" s="1354"/>
      <c r="AC1246" s="1354"/>
      <c r="AD1246" s="1354"/>
      <c r="AE1246" s="1354"/>
      <c r="AF1246" s="1354"/>
    </row>
    <row r="1247" spans="26:32" x14ac:dyDescent="0.15">
      <c r="Z1247" s="1354"/>
      <c r="AA1247" s="1354"/>
      <c r="AB1247" s="1354"/>
      <c r="AC1247" s="1354"/>
      <c r="AD1247" s="1354"/>
      <c r="AE1247" s="1354"/>
      <c r="AF1247" s="1354"/>
    </row>
    <row r="1248" spans="26:32" x14ac:dyDescent="0.15">
      <c r="Z1248" s="1354"/>
      <c r="AA1248" s="1354"/>
      <c r="AB1248" s="1354"/>
      <c r="AC1248" s="1354"/>
      <c r="AD1248" s="1354"/>
      <c r="AE1248" s="1354"/>
      <c r="AF1248" s="1354"/>
    </row>
    <row r="1249" spans="26:32" x14ac:dyDescent="0.15">
      <c r="Z1249" s="1354"/>
      <c r="AA1249" s="1354"/>
      <c r="AB1249" s="1354"/>
      <c r="AC1249" s="1354"/>
      <c r="AD1249" s="1354"/>
      <c r="AE1249" s="1354"/>
      <c r="AF1249" s="1354"/>
    </row>
    <row r="1250" spans="26:32" x14ac:dyDescent="0.15">
      <c r="Z1250" s="1354"/>
      <c r="AA1250" s="1354"/>
      <c r="AB1250" s="1354"/>
      <c r="AC1250" s="1354"/>
      <c r="AD1250" s="1354"/>
      <c r="AE1250" s="1354"/>
      <c r="AF1250" s="1354"/>
    </row>
    <row r="1251" spans="26:32" x14ac:dyDescent="0.15">
      <c r="Z1251" s="1354"/>
      <c r="AA1251" s="1354"/>
      <c r="AB1251" s="1354"/>
      <c r="AC1251" s="1354"/>
      <c r="AD1251" s="1354"/>
      <c r="AE1251" s="1354"/>
      <c r="AF1251" s="1354"/>
    </row>
    <row r="1252" spans="26:32" x14ac:dyDescent="0.15">
      <c r="Z1252" s="1354"/>
      <c r="AA1252" s="1354"/>
      <c r="AB1252" s="1354"/>
      <c r="AC1252" s="1354"/>
      <c r="AD1252" s="1354"/>
      <c r="AE1252" s="1354"/>
      <c r="AF1252" s="1354"/>
    </row>
    <row r="1253" spans="26:32" x14ac:dyDescent="0.15">
      <c r="Z1253" s="1354"/>
      <c r="AA1253" s="1354"/>
      <c r="AB1253" s="1354"/>
      <c r="AC1253" s="1354"/>
      <c r="AD1253" s="1354"/>
      <c r="AE1253" s="1354"/>
      <c r="AF1253" s="1354"/>
    </row>
    <row r="1254" spans="26:32" x14ac:dyDescent="0.15">
      <c r="Z1254" s="1354"/>
      <c r="AA1254" s="1354"/>
      <c r="AB1254" s="1354"/>
      <c r="AC1254" s="1354"/>
      <c r="AD1254" s="1354"/>
      <c r="AE1254" s="1354"/>
      <c r="AF1254" s="1354"/>
    </row>
    <row r="1255" spans="26:32" x14ac:dyDescent="0.15">
      <c r="Z1255" s="1354"/>
      <c r="AA1255" s="1354"/>
      <c r="AB1255" s="1354"/>
      <c r="AC1255" s="1354"/>
      <c r="AD1255" s="1354"/>
      <c r="AE1255" s="1354"/>
      <c r="AF1255" s="1354"/>
    </row>
    <row r="1256" spans="26:32" x14ac:dyDescent="0.15">
      <c r="Z1256" s="1354"/>
      <c r="AA1256" s="1354"/>
      <c r="AB1256" s="1354"/>
      <c r="AC1256" s="1354"/>
      <c r="AD1256" s="1354"/>
      <c r="AE1256" s="1354"/>
      <c r="AF1256" s="1354"/>
    </row>
    <row r="1257" spans="26:32" x14ac:dyDescent="0.15">
      <c r="Z1257" s="1354"/>
      <c r="AA1257" s="1354"/>
      <c r="AB1257" s="1354"/>
      <c r="AC1257" s="1354"/>
      <c r="AD1257" s="1354"/>
      <c r="AE1257" s="1354"/>
      <c r="AF1257" s="1354"/>
    </row>
    <row r="1258" spans="26:32" x14ac:dyDescent="0.15">
      <c r="Z1258" s="1354"/>
      <c r="AA1258" s="1354"/>
      <c r="AB1258" s="1354"/>
      <c r="AC1258" s="1354"/>
      <c r="AD1258" s="1354"/>
      <c r="AE1258" s="1354"/>
      <c r="AF1258" s="1354"/>
    </row>
    <row r="1259" spans="26:32" x14ac:dyDescent="0.15">
      <c r="Z1259" s="1354"/>
      <c r="AA1259" s="1354"/>
      <c r="AB1259" s="1354"/>
      <c r="AC1259" s="1354"/>
      <c r="AD1259" s="1354"/>
      <c r="AE1259" s="1354"/>
      <c r="AF1259" s="1354"/>
    </row>
    <row r="1260" spans="26:32" x14ac:dyDescent="0.15">
      <c r="Z1260" s="1354"/>
      <c r="AA1260" s="1354"/>
      <c r="AB1260" s="1354"/>
      <c r="AC1260" s="1354"/>
      <c r="AD1260" s="1354"/>
      <c r="AE1260" s="1354"/>
      <c r="AF1260" s="1354"/>
    </row>
    <row r="1261" spans="26:32" x14ac:dyDescent="0.15">
      <c r="Z1261" s="1354"/>
      <c r="AA1261" s="1354"/>
      <c r="AB1261" s="1354"/>
      <c r="AC1261" s="1354"/>
      <c r="AD1261" s="1354"/>
      <c r="AE1261" s="1354"/>
      <c r="AF1261" s="1354"/>
    </row>
    <row r="1262" spans="26:32" x14ac:dyDescent="0.15">
      <c r="Z1262" s="1354"/>
      <c r="AA1262" s="1354"/>
      <c r="AB1262" s="1354"/>
      <c r="AC1262" s="1354"/>
      <c r="AD1262" s="1354"/>
      <c r="AE1262" s="1354"/>
      <c r="AF1262" s="1354"/>
    </row>
    <row r="1263" spans="26:32" x14ac:dyDescent="0.15">
      <c r="Z1263" s="1354"/>
      <c r="AA1263" s="1354"/>
      <c r="AB1263" s="1354"/>
      <c r="AC1263" s="1354"/>
      <c r="AD1263" s="1354"/>
      <c r="AE1263" s="1354"/>
      <c r="AF1263" s="1354"/>
    </row>
    <row r="1264" spans="26:32" x14ac:dyDescent="0.15">
      <c r="Z1264" s="1354"/>
      <c r="AA1264" s="1354"/>
      <c r="AB1264" s="1354"/>
      <c r="AC1264" s="1354"/>
      <c r="AD1264" s="1354"/>
      <c r="AE1264" s="1354"/>
      <c r="AF1264" s="1354"/>
    </row>
    <row r="1265" spans="26:32" x14ac:dyDescent="0.15">
      <c r="Z1265" s="1354"/>
      <c r="AA1265" s="1354"/>
      <c r="AB1265" s="1354"/>
      <c r="AC1265" s="1354"/>
      <c r="AD1265" s="1354"/>
      <c r="AE1265" s="1354"/>
      <c r="AF1265" s="1354"/>
    </row>
    <row r="1266" spans="26:32" x14ac:dyDescent="0.15">
      <c r="Z1266" s="1354"/>
      <c r="AA1266" s="1354"/>
      <c r="AB1266" s="1354"/>
      <c r="AC1266" s="1354"/>
      <c r="AD1266" s="1354"/>
      <c r="AE1266" s="1354"/>
      <c r="AF1266" s="1354"/>
    </row>
    <row r="1267" spans="26:32" x14ac:dyDescent="0.15">
      <c r="Z1267" s="1354"/>
      <c r="AA1267" s="1354"/>
      <c r="AB1267" s="1354"/>
      <c r="AC1267" s="1354"/>
      <c r="AD1267" s="1354"/>
      <c r="AE1267" s="1354"/>
      <c r="AF1267" s="1354"/>
    </row>
    <row r="1268" spans="26:32" x14ac:dyDescent="0.15">
      <c r="Z1268" s="1354"/>
      <c r="AA1268" s="1354"/>
      <c r="AB1268" s="1354"/>
      <c r="AC1268" s="1354"/>
      <c r="AD1268" s="1354"/>
      <c r="AE1268" s="1354"/>
      <c r="AF1268" s="1354"/>
    </row>
    <row r="1269" spans="26:32" x14ac:dyDescent="0.15">
      <c r="Z1269" s="1354"/>
      <c r="AA1269" s="1354"/>
      <c r="AB1269" s="1354"/>
      <c r="AC1269" s="1354"/>
      <c r="AD1269" s="1354"/>
      <c r="AE1269" s="1354"/>
      <c r="AF1269" s="1354"/>
    </row>
    <row r="1270" spans="26:32" x14ac:dyDescent="0.15">
      <c r="Z1270" s="1354"/>
      <c r="AA1270" s="1354"/>
      <c r="AB1270" s="1354"/>
      <c r="AC1270" s="1354"/>
      <c r="AD1270" s="1354"/>
      <c r="AE1270" s="1354"/>
      <c r="AF1270" s="1354"/>
    </row>
    <row r="1271" spans="26:32" x14ac:dyDescent="0.15">
      <c r="Z1271" s="1354"/>
      <c r="AA1271" s="1354"/>
      <c r="AB1271" s="1354"/>
      <c r="AC1271" s="1354"/>
      <c r="AD1271" s="1354"/>
      <c r="AE1271" s="1354"/>
      <c r="AF1271" s="1354"/>
    </row>
    <row r="1272" spans="26:32" x14ac:dyDescent="0.15">
      <c r="Z1272" s="1354"/>
      <c r="AA1272" s="1354"/>
      <c r="AB1272" s="1354"/>
      <c r="AC1272" s="1354"/>
      <c r="AD1272" s="1354"/>
      <c r="AE1272" s="1354"/>
      <c r="AF1272" s="1354"/>
    </row>
    <row r="1273" spans="26:32" x14ac:dyDescent="0.15">
      <c r="Z1273" s="1354"/>
      <c r="AA1273" s="1354"/>
      <c r="AB1273" s="1354"/>
      <c r="AC1273" s="1354"/>
      <c r="AD1273" s="1354"/>
      <c r="AE1273" s="1354"/>
      <c r="AF1273" s="1354"/>
    </row>
    <row r="1274" spans="26:32" x14ac:dyDescent="0.15">
      <c r="Z1274" s="1354"/>
      <c r="AA1274" s="1354"/>
      <c r="AB1274" s="1354"/>
      <c r="AC1274" s="1354"/>
      <c r="AD1274" s="1354"/>
      <c r="AE1274" s="1354"/>
      <c r="AF1274" s="1354"/>
    </row>
    <row r="1275" spans="26:32" x14ac:dyDescent="0.15">
      <c r="Z1275" s="1354"/>
      <c r="AA1275" s="1354"/>
      <c r="AB1275" s="1354"/>
      <c r="AC1275" s="1354"/>
      <c r="AD1275" s="1354"/>
      <c r="AE1275" s="1354"/>
      <c r="AF1275" s="1354"/>
    </row>
    <row r="1276" spans="26:32" x14ac:dyDescent="0.15">
      <c r="Z1276" s="1354"/>
      <c r="AA1276" s="1354"/>
      <c r="AB1276" s="1354"/>
      <c r="AC1276" s="1354"/>
      <c r="AD1276" s="1354"/>
      <c r="AE1276" s="1354"/>
      <c r="AF1276" s="1354"/>
    </row>
    <row r="1277" spans="26:32" x14ac:dyDescent="0.15">
      <c r="Z1277" s="1354"/>
      <c r="AA1277" s="1354"/>
      <c r="AB1277" s="1354"/>
      <c r="AC1277" s="1354"/>
      <c r="AD1277" s="1354"/>
      <c r="AE1277" s="1354"/>
      <c r="AF1277" s="1354"/>
    </row>
    <row r="1278" spans="26:32" x14ac:dyDescent="0.15">
      <c r="Z1278" s="1354"/>
      <c r="AA1278" s="1354"/>
      <c r="AB1278" s="1354"/>
      <c r="AC1278" s="1354"/>
      <c r="AD1278" s="1354"/>
      <c r="AE1278" s="1354"/>
      <c r="AF1278" s="1354"/>
    </row>
    <row r="1279" spans="26:32" x14ac:dyDescent="0.15">
      <c r="Z1279" s="1354"/>
      <c r="AA1279" s="1354"/>
      <c r="AB1279" s="1354"/>
      <c r="AC1279" s="1354"/>
      <c r="AD1279" s="1354"/>
      <c r="AE1279" s="1354"/>
      <c r="AF1279" s="1354"/>
    </row>
    <row r="1280" spans="26:32" x14ac:dyDescent="0.15">
      <c r="Z1280" s="1354"/>
      <c r="AA1280" s="1354"/>
      <c r="AB1280" s="1354"/>
      <c r="AC1280" s="1354"/>
      <c r="AD1280" s="1354"/>
      <c r="AE1280" s="1354"/>
      <c r="AF1280" s="1354"/>
    </row>
    <row r="1281" spans="26:32" x14ac:dyDescent="0.15">
      <c r="Z1281" s="1354"/>
      <c r="AA1281" s="1354"/>
      <c r="AB1281" s="1354"/>
      <c r="AC1281" s="1354"/>
      <c r="AD1281" s="1354"/>
      <c r="AE1281" s="1354"/>
      <c r="AF1281" s="1354"/>
    </row>
    <row r="1282" spans="26:32" x14ac:dyDescent="0.15">
      <c r="Z1282" s="1354"/>
      <c r="AA1282" s="1354"/>
      <c r="AB1282" s="1354"/>
      <c r="AC1282" s="1354"/>
      <c r="AD1282" s="1354"/>
      <c r="AE1282" s="1354"/>
      <c r="AF1282" s="1354"/>
    </row>
    <row r="1283" spans="26:32" x14ac:dyDescent="0.15">
      <c r="Z1283" s="1354"/>
      <c r="AA1283" s="1354"/>
      <c r="AB1283" s="1354"/>
      <c r="AC1283" s="1354"/>
      <c r="AD1283" s="1354"/>
      <c r="AE1283" s="1354"/>
      <c r="AF1283" s="1354"/>
    </row>
    <row r="1284" spans="26:32" x14ac:dyDescent="0.15">
      <c r="Z1284" s="1354"/>
      <c r="AA1284" s="1354"/>
      <c r="AB1284" s="1354"/>
      <c r="AC1284" s="1354"/>
      <c r="AD1284" s="1354"/>
      <c r="AE1284" s="1354"/>
      <c r="AF1284" s="1354"/>
    </row>
    <row r="1285" spans="26:32" x14ac:dyDescent="0.15">
      <c r="Z1285" s="1354"/>
      <c r="AA1285" s="1354"/>
      <c r="AB1285" s="1354"/>
      <c r="AC1285" s="1354"/>
      <c r="AD1285" s="1354"/>
      <c r="AE1285" s="1354"/>
      <c r="AF1285" s="1354"/>
    </row>
    <row r="1286" spans="26:32" x14ac:dyDescent="0.15">
      <c r="Z1286" s="1354"/>
      <c r="AA1286" s="1354"/>
      <c r="AB1286" s="1354"/>
      <c r="AC1286" s="1354"/>
      <c r="AD1286" s="1354"/>
      <c r="AE1286" s="1354"/>
      <c r="AF1286" s="1354"/>
    </row>
    <row r="1287" spans="26:32" x14ac:dyDescent="0.15">
      <c r="Z1287" s="1354"/>
      <c r="AA1287" s="1354"/>
      <c r="AB1287" s="1354"/>
      <c r="AC1287" s="1354"/>
      <c r="AD1287" s="1354"/>
      <c r="AE1287" s="1354"/>
      <c r="AF1287" s="1354"/>
    </row>
    <row r="1288" spans="26:32" x14ac:dyDescent="0.15">
      <c r="Z1288" s="1354"/>
      <c r="AA1288" s="1354"/>
      <c r="AB1288" s="1354"/>
      <c r="AC1288" s="1354"/>
      <c r="AD1288" s="1354"/>
      <c r="AE1288" s="1354"/>
      <c r="AF1288" s="1354"/>
    </row>
    <row r="1289" spans="26:32" x14ac:dyDescent="0.15">
      <c r="Z1289" s="1354"/>
      <c r="AA1289" s="1354"/>
      <c r="AB1289" s="1354"/>
      <c r="AC1289" s="1354"/>
      <c r="AD1289" s="1354"/>
      <c r="AE1289" s="1354"/>
      <c r="AF1289" s="1354"/>
    </row>
    <row r="1290" spans="26:32" x14ac:dyDescent="0.15">
      <c r="Z1290" s="1354"/>
      <c r="AA1290" s="1354"/>
      <c r="AB1290" s="1354"/>
      <c r="AC1290" s="1354"/>
      <c r="AD1290" s="1354"/>
      <c r="AE1290" s="1354"/>
      <c r="AF1290" s="1354"/>
    </row>
    <row r="1291" spans="26:32" x14ac:dyDescent="0.15">
      <c r="Z1291" s="1354"/>
      <c r="AA1291" s="1354"/>
      <c r="AB1291" s="1354"/>
      <c r="AC1291" s="1354"/>
      <c r="AD1291" s="1354"/>
      <c r="AE1291" s="1354"/>
      <c r="AF1291" s="1354"/>
    </row>
    <row r="1292" spans="26:32" x14ac:dyDescent="0.15">
      <c r="Z1292" s="1354"/>
      <c r="AA1292" s="1354"/>
      <c r="AB1292" s="1354"/>
      <c r="AC1292" s="1354"/>
      <c r="AD1292" s="1354"/>
      <c r="AE1292" s="1354"/>
      <c r="AF1292" s="1354"/>
    </row>
    <row r="1293" spans="26:32" x14ac:dyDescent="0.15">
      <c r="Z1293" s="1354"/>
      <c r="AA1293" s="1354"/>
      <c r="AB1293" s="1354"/>
      <c r="AC1293" s="1354"/>
      <c r="AD1293" s="1354"/>
      <c r="AE1293" s="1354"/>
      <c r="AF1293" s="1354"/>
    </row>
    <row r="1294" spans="26:32" x14ac:dyDescent="0.15">
      <c r="Z1294" s="1354"/>
      <c r="AA1294" s="1354"/>
      <c r="AB1294" s="1354"/>
      <c r="AC1294" s="1354"/>
      <c r="AD1294" s="1354"/>
      <c r="AE1294" s="1354"/>
      <c r="AF1294" s="1354"/>
    </row>
    <row r="1295" spans="26:32" x14ac:dyDescent="0.15">
      <c r="Z1295" s="1354"/>
      <c r="AA1295" s="1354"/>
      <c r="AB1295" s="1354"/>
      <c r="AC1295" s="1354"/>
      <c r="AD1295" s="1354"/>
      <c r="AE1295" s="1354"/>
      <c r="AF1295" s="1354"/>
    </row>
    <row r="1296" spans="26:32" x14ac:dyDescent="0.15">
      <c r="Z1296" s="1354"/>
      <c r="AA1296" s="1354"/>
      <c r="AB1296" s="1354"/>
      <c r="AC1296" s="1354"/>
      <c r="AD1296" s="1354"/>
      <c r="AE1296" s="1354"/>
      <c r="AF1296" s="1354"/>
    </row>
    <row r="1297" spans="26:32" x14ac:dyDescent="0.15">
      <c r="Z1297" s="1354"/>
      <c r="AA1297" s="1354"/>
      <c r="AB1297" s="1354"/>
      <c r="AC1297" s="1354"/>
      <c r="AD1297" s="1354"/>
      <c r="AE1297" s="1354"/>
      <c r="AF1297" s="1354"/>
    </row>
    <row r="1298" spans="26:32" x14ac:dyDescent="0.15">
      <c r="Z1298" s="1354"/>
      <c r="AA1298" s="1354"/>
      <c r="AB1298" s="1354"/>
      <c r="AC1298" s="1354"/>
      <c r="AD1298" s="1354"/>
      <c r="AE1298" s="1354"/>
      <c r="AF1298" s="1354"/>
    </row>
    <row r="1299" spans="26:32" x14ac:dyDescent="0.15">
      <c r="Z1299" s="1354"/>
      <c r="AA1299" s="1354"/>
      <c r="AB1299" s="1354"/>
      <c r="AC1299" s="1354"/>
      <c r="AD1299" s="1354"/>
      <c r="AE1299" s="1354"/>
      <c r="AF1299" s="1354"/>
    </row>
    <row r="1300" spans="26:32" x14ac:dyDescent="0.15">
      <c r="Z1300" s="1354"/>
      <c r="AA1300" s="1354"/>
      <c r="AB1300" s="1354"/>
      <c r="AC1300" s="1354"/>
      <c r="AD1300" s="1354"/>
      <c r="AE1300" s="1354"/>
      <c r="AF1300" s="1354"/>
    </row>
    <row r="1301" spans="26:32" x14ac:dyDescent="0.15">
      <c r="Z1301" s="1354"/>
      <c r="AA1301" s="1354"/>
      <c r="AB1301" s="1354"/>
      <c r="AC1301" s="1354"/>
      <c r="AD1301" s="1354"/>
      <c r="AE1301" s="1354"/>
      <c r="AF1301" s="1354"/>
    </row>
    <row r="1302" spans="26:32" x14ac:dyDescent="0.15">
      <c r="Z1302" s="1354"/>
      <c r="AA1302" s="1354"/>
      <c r="AB1302" s="1354"/>
      <c r="AC1302" s="1354"/>
      <c r="AD1302" s="1354"/>
      <c r="AE1302" s="1354"/>
      <c r="AF1302" s="1354"/>
    </row>
    <row r="1303" spans="26:32" x14ac:dyDescent="0.15">
      <c r="Z1303" s="1354"/>
      <c r="AA1303" s="1354"/>
      <c r="AB1303" s="1354"/>
      <c r="AC1303" s="1354"/>
      <c r="AD1303" s="1354"/>
      <c r="AE1303" s="1354"/>
      <c r="AF1303" s="1354"/>
    </row>
    <row r="1304" spans="26:32" x14ac:dyDescent="0.15">
      <c r="Z1304" s="1354"/>
      <c r="AA1304" s="1354"/>
      <c r="AB1304" s="1354"/>
      <c r="AC1304" s="1354"/>
      <c r="AD1304" s="1354"/>
      <c r="AE1304" s="1354"/>
      <c r="AF1304" s="1354"/>
    </row>
    <row r="1305" spans="26:32" x14ac:dyDescent="0.15">
      <c r="Z1305" s="1354"/>
      <c r="AA1305" s="1354"/>
      <c r="AB1305" s="1354"/>
      <c r="AC1305" s="1354"/>
      <c r="AD1305" s="1354"/>
      <c r="AE1305" s="1354"/>
      <c r="AF1305" s="1354"/>
    </row>
    <row r="1306" spans="26:32" x14ac:dyDescent="0.15">
      <c r="Z1306" s="1354"/>
      <c r="AA1306" s="1354"/>
      <c r="AB1306" s="1354"/>
      <c r="AC1306" s="1354"/>
      <c r="AD1306" s="1354"/>
      <c r="AE1306" s="1354"/>
      <c r="AF1306" s="1354"/>
    </row>
    <row r="1307" spans="26:32" x14ac:dyDescent="0.15">
      <c r="Z1307" s="1354"/>
      <c r="AA1307" s="1354"/>
      <c r="AB1307" s="1354"/>
      <c r="AC1307" s="1354"/>
      <c r="AD1307" s="1354"/>
      <c r="AE1307" s="1354"/>
      <c r="AF1307" s="1354"/>
    </row>
    <row r="1308" spans="26:32" x14ac:dyDescent="0.15">
      <c r="Z1308" s="1354"/>
      <c r="AA1308" s="1354"/>
      <c r="AB1308" s="1354"/>
      <c r="AC1308" s="1354"/>
      <c r="AD1308" s="1354"/>
      <c r="AE1308" s="1354"/>
      <c r="AF1308" s="1354"/>
    </row>
    <row r="1309" spans="26:32" x14ac:dyDescent="0.15">
      <c r="Z1309" s="1354"/>
      <c r="AA1309" s="1354"/>
      <c r="AB1309" s="1354"/>
      <c r="AC1309" s="1354"/>
      <c r="AD1309" s="1354"/>
      <c r="AE1309" s="1354"/>
      <c r="AF1309" s="1354"/>
    </row>
    <row r="1310" spans="26:32" x14ac:dyDescent="0.15">
      <c r="Z1310" s="1354"/>
      <c r="AA1310" s="1354"/>
      <c r="AB1310" s="1354"/>
      <c r="AC1310" s="1354"/>
      <c r="AD1310" s="1354"/>
      <c r="AE1310" s="1354"/>
      <c r="AF1310" s="1354"/>
    </row>
    <row r="1311" spans="26:32" x14ac:dyDescent="0.15">
      <c r="Z1311" s="1354"/>
      <c r="AA1311" s="1354"/>
      <c r="AB1311" s="1354"/>
      <c r="AC1311" s="1354"/>
      <c r="AD1311" s="1354"/>
      <c r="AE1311" s="1354"/>
      <c r="AF1311" s="1354"/>
    </row>
    <row r="1312" spans="26:32" x14ac:dyDescent="0.15">
      <c r="Z1312" s="1354"/>
      <c r="AA1312" s="1354"/>
      <c r="AB1312" s="1354"/>
      <c r="AC1312" s="1354"/>
      <c r="AD1312" s="1354"/>
      <c r="AE1312" s="1354"/>
      <c r="AF1312" s="1354"/>
    </row>
    <row r="1313" spans="26:32" x14ac:dyDescent="0.15">
      <c r="Z1313" s="1354"/>
      <c r="AA1313" s="1354"/>
      <c r="AB1313" s="1354"/>
      <c r="AC1313" s="1354"/>
      <c r="AD1313" s="1354"/>
      <c r="AE1313" s="1354"/>
      <c r="AF1313" s="1354"/>
    </row>
    <row r="1314" spans="26:32" x14ac:dyDescent="0.15">
      <c r="Z1314" s="1354"/>
      <c r="AA1314" s="1354"/>
      <c r="AB1314" s="1354"/>
      <c r="AC1314" s="1354"/>
      <c r="AD1314" s="1354"/>
      <c r="AE1314" s="1354"/>
      <c r="AF1314" s="1354"/>
    </row>
    <row r="1315" spans="26:32" x14ac:dyDescent="0.15">
      <c r="Z1315" s="1354"/>
      <c r="AA1315" s="1354"/>
      <c r="AB1315" s="1354"/>
      <c r="AC1315" s="1354"/>
      <c r="AD1315" s="1354"/>
      <c r="AE1315" s="1354"/>
      <c r="AF1315" s="1354"/>
    </row>
    <row r="1316" spans="26:32" x14ac:dyDescent="0.15">
      <c r="Z1316" s="1354"/>
      <c r="AA1316" s="1354"/>
      <c r="AB1316" s="1354"/>
      <c r="AC1316" s="1354"/>
      <c r="AD1316" s="1354"/>
      <c r="AE1316" s="1354"/>
      <c r="AF1316" s="1354"/>
    </row>
    <row r="1317" spans="26:32" x14ac:dyDescent="0.15">
      <c r="Z1317" s="1354"/>
      <c r="AA1317" s="1354"/>
      <c r="AB1317" s="1354"/>
      <c r="AC1317" s="1354"/>
      <c r="AD1317" s="1354"/>
      <c r="AE1317" s="1354"/>
      <c r="AF1317" s="1354"/>
    </row>
    <row r="1318" spans="26:32" x14ac:dyDescent="0.15">
      <c r="Z1318" s="1354"/>
      <c r="AA1318" s="1354"/>
      <c r="AB1318" s="1354"/>
      <c r="AC1318" s="1354"/>
      <c r="AD1318" s="1354"/>
      <c r="AE1318" s="1354"/>
      <c r="AF1318" s="1354"/>
    </row>
    <row r="1319" spans="26:32" x14ac:dyDescent="0.15">
      <c r="Z1319" s="1354"/>
      <c r="AA1319" s="1354"/>
      <c r="AB1319" s="1354"/>
      <c r="AC1319" s="1354"/>
      <c r="AD1319" s="1354"/>
      <c r="AE1319" s="1354"/>
      <c r="AF1319" s="1354"/>
    </row>
    <row r="1320" spans="26:32" x14ac:dyDescent="0.15">
      <c r="Z1320" s="1354"/>
      <c r="AA1320" s="1354"/>
      <c r="AB1320" s="1354"/>
      <c r="AC1320" s="1354"/>
      <c r="AD1320" s="1354"/>
      <c r="AE1320" s="1354"/>
      <c r="AF1320" s="1354"/>
    </row>
    <row r="1321" spans="26:32" x14ac:dyDescent="0.15">
      <c r="Z1321" s="1354"/>
      <c r="AA1321" s="1354"/>
      <c r="AB1321" s="1354"/>
      <c r="AC1321" s="1354"/>
      <c r="AD1321" s="1354"/>
      <c r="AE1321" s="1354"/>
      <c r="AF1321" s="1354"/>
    </row>
    <row r="1322" spans="26:32" x14ac:dyDescent="0.15">
      <c r="Z1322" s="1354"/>
      <c r="AA1322" s="1354"/>
      <c r="AB1322" s="1354"/>
      <c r="AC1322" s="1354"/>
      <c r="AD1322" s="1354"/>
      <c r="AE1322" s="1354"/>
      <c r="AF1322" s="1354"/>
    </row>
    <row r="1323" spans="26:32" x14ac:dyDescent="0.15">
      <c r="Z1323" s="1354"/>
      <c r="AA1323" s="1354"/>
      <c r="AB1323" s="1354"/>
      <c r="AC1323" s="1354"/>
      <c r="AD1323" s="1354"/>
      <c r="AE1323" s="1354"/>
      <c r="AF1323" s="1354"/>
    </row>
    <row r="1324" spans="26:32" x14ac:dyDescent="0.15">
      <c r="Z1324" s="1354"/>
      <c r="AA1324" s="1354"/>
      <c r="AB1324" s="1354"/>
      <c r="AC1324" s="1354"/>
      <c r="AD1324" s="1354"/>
      <c r="AE1324" s="1354"/>
      <c r="AF1324" s="1354"/>
    </row>
    <row r="1325" spans="26:32" x14ac:dyDescent="0.15">
      <c r="Z1325" s="1354"/>
      <c r="AA1325" s="1354"/>
      <c r="AB1325" s="1354"/>
      <c r="AC1325" s="1354"/>
      <c r="AD1325" s="1354"/>
      <c r="AE1325" s="1354"/>
      <c r="AF1325" s="1354"/>
    </row>
    <row r="1326" spans="26:32" x14ac:dyDescent="0.15">
      <c r="Z1326" s="1354"/>
      <c r="AA1326" s="1354"/>
      <c r="AB1326" s="1354"/>
      <c r="AC1326" s="1354"/>
      <c r="AD1326" s="1354"/>
      <c r="AE1326" s="1354"/>
      <c r="AF1326" s="1354"/>
    </row>
    <row r="1327" spans="26:32" x14ac:dyDescent="0.15">
      <c r="Z1327" s="1354"/>
      <c r="AA1327" s="1354"/>
      <c r="AB1327" s="1354"/>
      <c r="AC1327" s="1354"/>
      <c r="AD1327" s="1354"/>
      <c r="AE1327" s="1354"/>
      <c r="AF1327" s="1354"/>
    </row>
    <row r="1328" spans="26:32" x14ac:dyDescent="0.15">
      <c r="Z1328" s="1354"/>
      <c r="AA1328" s="1354"/>
      <c r="AB1328" s="1354"/>
      <c r="AC1328" s="1354"/>
      <c r="AD1328" s="1354"/>
      <c r="AE1328" s="1354"/>
      <c r="AF1328" s="1354"/>
    </row>
    <row r="1329" spans="26:32" x14ac:dyDescent="0.15">
      <c r="Z1329" s="1354"/>
      <c r="AA1329" s="1354"/>
      <c r="AB1329" s="1354"/>
      <c r="AC1329" s="1354"/>
      <c r="AD1329" s="1354"/>
      <c r="AE1329" s="1354"/>
      <c r="AF1329" s="1354"/>
    </row>
    <row r="1330" spans="26:32" x14ac:dyDescent="0.15">
      <c r="Z1330" s="1354"/>
      <c r="AA1330" s="1354"/>
      <c r="AB1330" s="1354"/>
      <c r="AC1330" s="1354"/>
      <c r="AD1330" s="1354"/>
      <c r="AE1330" s="1354"/>
      <c r="AF1330" s="1354"/>
    </row>
    <row r="1331" spans="26:32" x14ac:dyDescent="0.15">
      <c r="Z1331" s="1354"/>
      <c r="AA1331" s="1354"/>
      <c r="AB1331" s="1354"/>
      <c r="AC1331" s="1354"/>
      <c r="AD1331" s="1354"/>
      <c r="AE1331" s="1354"/>
      <c r="AF1331" s="1354"/>
    </row>
    <row r="1332" spans="26:32" x14ac:dyDescent="0.15">
      <c r="Z1332" s="1354"/>
      <c r="AA1332" s="1354"/>
      <c r="AB1332" s="1354"/>
      <c r="AC1332" s="1354"/>
      <c r="AD1332" s="1354"/>
      <c r="AE1332" s="1354"/>
      <c r="AF1332" s="1354"/>
    </row>
    <row r="1333" spans="26:32" x14ac:dyDescent="0.15">
      <c r="Z1333" s="1354"/>
      <c r="AA1333" s="1354"/>
      <c r="AB1333" s="1354"/>
      <c r="AC1333" s="1354"/>
      <c r="AD1333" s="1354"/>
      <c r="AE1333" s="1354"/>
      <c r="AF1333" s="1354"/>
    </row>
    <row r="1334" spans="26:32" x14ac:dyDescent="0.15">
      <c r="Z1334" s="1354"/>
      <c r="AA1334" s="1354"/>
      <c r="AB1334" s="1354"/>
      <c r="AC1334" s="1354"/>
      <c r="AD1334" s="1354"/>
      <c r="AE1334" s="1354"/>
      <c r="AF1334" s="1354"/>
    </row>
    <row r="1335" spans="26:32" x14ac:dyDescent="0.15">
      <c r="Z1335" s="1354"/>
      <c r="AA1335" s="1354"/>
      <c r="AB1335" s="1354"/>
      <c r="AC1335" s="1354"/>
      <c r="AD1335" s="1354"/>
      <c r="AE1335" s="1354"/>
      <c r="AF1335" s="1354"/>
    </row>
    <row r="1336" spans="26:32" x14ac:dyDescent="0.15">
      <c r="Z1336" s="1354"/>
      <c r="AA1336" s="1354"/>
      <c r="AB1336" s="1354"/>
      <c r="AC1336" s="1354"/>
      <c r="AD1336" s="1354"/>
      <c r="AE1336" s="1354"/>
      <c r="AF1336" s="1354"/>
    </row>
    <row r="1337" spans="26:32" x14ac:dyDescent="0.15">
      <c r="Z1337" s="1354"/>
      <c r="AA1337" s="1354"/>
      <c r="AB1337" s="1354"/>
      <c r="AC1337" s="1354"/>
      <c r="AD1337" s="1354"/>
      <c r="AE1337" s="1354"/>
      <c r="AF1337" s="1354"/>
    </row>
    <row r="1338" spans="26:32" x14ac:dyDescent="0.15">
      <c r="Z1338" s="1354"/>
      <c r="AA1338" s="1354"/>
      <c r="AB1338" s="1354"/>
      <c r="AC1338" s="1354"/>
      <c r="AD1338" s="1354"/>
      <c r="AE1338" s="1354"/>
      <c r="AF1338" s="1354"/>
    </row>
    <row r="1339" spans="26:32" x14ac:dyDescent="0.15">
      <c r="Z1339" s="1354"/>
      <c r="AA1339" s="1354"/>
      <c r="AB1339" s="1354"/>
      <c r="AC1339" s="1354"/>
      <c r="AD1339" s="1354"/>
      <c r="AE1339" s="1354"/>
      <c r="AF1339" s="1354"/>
    </row>
    <row r="1340" spans="26:32" x14ac:dyDescent="0.15">
      <c r="Z1340" s="1354"/>
      <c r="AA1340" s="1354"/>
      <c r="AB1340" s="1354"/>
      <c r="AC1340" s="1354"/>
      <c r="AD1340" s="1354"/>
      <c r="AE1340" s="1354"/>
      <c r="AF1340" s="1354"/>
    </row>
    <row r="1341" spans="26:32" x14ac:dyDescent="0.15">
      <c r="Z1341" s="1354"/>
      <c r="AA1341" s="1354"/>
      <c r="AB1341" s="1354"/>
      <c r="AC1341" s="1354"/>
      <c r="AD1341" s="1354"/>
      <c r="AE1341" s="1354"/>
      <c r="AF1341" s="1354"/>
    </row>
    <row r="1342" spans="26:32" x14ac:dyDescent="0.15">
      <c r="Z1342" s="1354"/>
      <c r="AA1342" s="1354"/>
      <c r="AB1342" s="1354"/>
      <c r="AC1342" s="1354"/>
      <c r="AD1342" s="1354"/>
      <c r="AE1342" s="1354"/>
      <c r="AF1342" s="1354"/>
    </row>
    <row r="1343" spans="26:32" x14ac:dyDescent="0.15">
      <c r="Z1343" s="1354"/>
      <c r="AA1343" s="1354"/>
      <c r="AB1343" s="1354"/>
      <c r="AC1343" s="1354"/>
      <c r="AD1343" s="1354"/>
      <c r="AE1343" s="1354"/>
      <c r="AF1343" s="1354"/>
    </row>
    <row r="1344" spans="26:32" x14ac:dyDescent="0.15">
      <c r="Z1344" s="1354"/>
      <c r="AA1344" s="1354"/>
      <c r="AB1344" s="1354"/>
      <c r="AC1344" s="1354"/>
      <c r="AD1344" s="1354"/>
      <c r="AE1344" s="1354"/>
      <c r="AF1344" s="1354"/>
    </row>
    <row r="1345" spans="26:32" x14ac:dyDescent="0.15">
      <c r="Z1345" s="1354"/>
      <c r="AA1345" s="1354"/>
      <c r="AB1345" s="1354"/>
      <c r="AC1345" s="1354"/>
      <c r="AD1345" s="1354"/>
      <c r="AE1345" s="1354"/>
      <c r="AF1345" s="1354"/>
    </row>
    <row r="1346" spans="26:32" x14ac:dyDescent="0.15">
      <c r="Z1346" s="1354"/>
      <c r="AA1346" s="1354"/>
      <c r="AB1346" s="1354"/>
      <c r="AC1346" s="1354"/>
      <c r="AD1346" s="1354"/>
      <c r="AE1346" s="1354"/>
      <c r="AF1346" s="1354"/>
    </row>
  </sheetData>
  <sheetProtection password="8ED5"/>
  <autoFilter ref="A1:J192" xr:uid="{0166F293-DF0B-0547-B9D3-5610A7788A66}"/>
  <phoneticPr fontId="10" type="noConversion"/>
  <printOptions horizontalCentered="1" verticalCentered="1" headings="1" gridLines="1"/>
  <pageMargins left="0" right="0" top="0.23622047244094491" bottom="0" header="0" footer="0"/>
  <pageSetup paperSize="9" scale="68" fitToHeight="3" orientation="portrait" blackAndWhite="1" horizontalDpi="4294967292"/>
  <headerFooter alignWithMargins="0"/>
  <rowBreaks count="4" manualBreakCount="4">
    <brk id="61" min="1" max="10" man="1"/>
    <brk id="112" min="1" max="10" man="1"/>
    <brk id="162" min="1" max="10" man="1"/>
    <brk id="207" max="65535" man="1"/>
  </rowBreak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573F"/>
    <pageSetUpPr fitToPage="1"/>
  </sheetPr>
  <dimension ref="A1:U103"/>
  <sheetViews>
    <sheetView showGridLines="0" zoomScale="85" workbookViewId="0">
      <selection activeCell="N97" sqref="N97"/>
    </sheetView>
  </sheetViews>
  <sheetFormatPr baseColWidth="10" defaultColWidth="11.5" defaultRowHeight="14" x14ac:dyDescent="0.15"/>
  <cols>
    <col min="1" max="1" width="39.5" style="127" customWidth="1"/>
    <col min="2" max="2" width="4.33203125" style="127" hidden="1" customWidth="1"/>
    <col min="3" max="3" width="9" style="127" hidden="1" customWidth="1"/>
    <col min="4" max="4" width="13.5" style="128" customWidth="1"/>
    <col min="5" max="8" width="13.5" style="1310" customWidth="1"/>
    <col min="9" max="9" width="38.5" style="127" customWidth="1"/>
    <col min="10" max="14" width="13.5" style="1310" customWidth="1"/>
    <col min="15" max="15" width="12.5" style="1426" customWidth="1"/>
    <col min="16" max="19" width="10.33203125" style="127" customWidth="1"/>
    <col min="20" max="16384" width="11.5" style="127"/>
  </cols>
  <sheetData>
    <row r="1" spans="1:20" ht="49.5" customHeight="1" x14ac:dyDescent="0.15">
      <c r="A1" s="129" t="s">
        <v>108</v>
      </c>
      <c r="B1" s="130"/>
      <c r="C1" s="130"/>
      <c r="D1" s="235" t="str">
        <f>IF(Saisie!D1="","Saisir sur Saisie ou Etatsfin",Saisie!D1)</f>
        <v>000' DZD</v>
      </c>
      <c r="E1" s="1311"/>
      <c r="F1" s="1510" t="s">
        <v>109</v>
      </c>
      <c r="G1" s="1312"/>
      <c r="H1" s="1313"/>
      <c r="I1" s="131"/>
      <c r="J1" s="1240"/>
      <c r="K1" s="1241" t="s">
        <v>110</v>
      </c>
      <c r="L1" s="1242">
        <f ca="1">TODAY()</f>
        <v>46304</v>
      </c>
      <c r="M1" s="1242"/>
      <c r="N1" s="1242"/>
      <c r="O1" s="1420" t="str">
        <f>IF(OR(D1="",D1="Saisir sur Saisie ou Etatsfin")," montant",D1)</f>
        <v>000' DZD</v>
      </c>
      <c r="P1" s="132" t="str">
        <f>IF(OR(D1="",D1="Saisir sur Saisie ou Etatsfin")," Saisir sur Saisie ou Etatsfin",D1)</f>
        <v>000' DZD</v>
      </c>
      <c r="Q1" s="133"/>
      <c r="R1" s="133"/>
      <c r="S1" s="133"/>
      <c r="T1" s="133"/>
    </row>
    <row r="2" spans="1:20" ht="21.75" customHeight="1" x14ac:dyDescent="0.2">
      <c r="A2" s="134" t="s">
        <v>111</v>
      </c>
      <c r="B2" s="134"/>
      <c r="C2" s="134"/>
      <c r="D2" s="135" t="str">
        <f>IF(Saisie!C2="","Saisir sur Saisie ou Etatsfin",Saisie!C2)</f>
        <v>MERIPLAST</v>
      </c>
      <c r="E2" s="1314"/>
      <c r="F2" s="1315"/>
      <c r="G2" s="1315"/>
      <c r="H2" s="1315"/>
      <c r="I2" s="136" t="s">
        <v>112</v>
      </c>
      <c r="J2" s="1243"/>
      <c r="K2" s="1244"/>
      <c r="L2" s="1244" t="s">
        <v>113</v>
      </c>
      <c r="M2" s="1244"/>
      <c r="N2" s="1245"/>
      <c r="O2" s="1421"/>
      <c r="Q2" s="137"/>
      <c r="R2" s="137"/>
      <c r="S2" s="137"/>
      <c r="T2" s="137"/>
    </row>
    <row r="3" spans="1:20" ht="16.5" customHeight="1" thickBot="1" x14ac:dyDescent="0.25">
      <c r="A3" s="134" t="s">
        <v>114</v>
      </c>
      <c r="B3" s="134"/>
      <c r="C3" s="134"/>
      <c r="D3" s="138" t="str">
        <f>IF(Saisie!C3="","Saisir sur Saisie ou Etatsfin",Saisie!C3)</f>
        <v>SARL</v>
      </c>
      <c r="E3" s="1316"/>
      <c r="F3" s="1317"/>
      <c r="G3" s="1317"/>
      <c r="H3" s="1315"/>
      <c r="I3" s="234"/>
      <c r="J3" s="1243"/>
      <c r="K3" s="1244"/>
      <c r="L3" s="1244" t="s">
        <v>115</v>
      </c>
      <c r="M3" s="1244"/>
      <c r="N3" s="1245"/>
      <c r="O3" s="1421"/>
    </row>
    <row r="4" spans="1:20" ht="18" customHeight="1" thickBot="1" x14ac:dyDescent="0.2">
      <c r="A4" s="232" t="s">
        <v>117</v>
      </c>
      <c r="B4" s="233"/>
      <c r="C4" s="233"/>
      <c r="D4" s="233"/>
      <c r="E4" s="1246"/>
      <c r="F4" s="1246"/>
      <c r="G4" s="1246" t="s">
        <v>118</v>
      </c>
      <c r="H4" s="1246" t="s">
        <v>118</v>
      </c>
      <c r="I4" s="233"/>
      <c r="J4" s="1246"/>
      <c r="K4" s="1247"/>
      <c r="L4" s="1248"/>
      <c r="M4" s="1248"/>
      <c r="N4" s="1248"/>
      <c r="O4" s="1422">
        <f>(Saisie!E3-Saisie!D3)</f>
        <v>1095</v>
      </c>
      <c r="P4" s="139" t="s">
        <v>119</v>
      </c>
      <c r="Q4" s="140"/>
      <c r="R4" s="140"/>
      <c r="S4" s="141"/>
    </row>
    <row r="5" spans="1:20" s="143" customFormat="1" ht="15" customHeight="1" thickTop="1" thickBot="1" x14ac:dyDescent="0.2">
      <c r="A5" s="1499" t="s">
        <v>120</v>
      </c>
      <c r="B5" s="1500"/>
      <c r="C5" s="1501">
        <f>IF(Saisie!D3=0,D5-365,Saisie!D3)</f>
        <v>38322</v>
      </c>
      <c r="D5" s="1502">
        <f>IF(Saisie!E3=0,E5-365,Saisie!E3)</f>
        <v>39417</v>
      </c>
      <c r="E5" s="1502">
        <f>IF(Saisie!F3=0,F5-365,Saisie!F3)</f>
        <v>39783</v>
      </c>
      <c r="F5" s="1502">
        <f>IF(Saisie!G3=0,G5-365,Saisie!G3)</f>
        <v>40178</v>
      </c>
      <c r="G5" s="1502">
        <f>IF(Saisie!H3=0,0,Saisie!H3)</f>
        <v>40543</v>
      </c>
      <c r="H5" s="1502">
        <f>IF(Saisie!I3=0,0,Saisie!I3)</f>
        <v>46022</v>
      </c>
      <c r="I5" s="1503" t="s">
        <v>121</v>
      </c>
      <c r="J5" s="1502">
        <f>D5</f>
        <v>39417</v>
      </c>
      <c r="K5" s="1502">
        <f>E5</f>
        <v>39783</v>
      </c>
      <c r="L5" s="1502">
        <f>F5</f>
        <v>40178</v>
      </c>
      <c r="M5" s="1502">
        <f>G5</f>
        <v>40543</v>
      </c>
      <c r="N5" s="1504">
        <f>H5</f>
        <v>46022</v>
      </c>
      <c r="O5" s="1423"/>
    </row>
    <row r="6" spans="1:20" s="143" customFormat="1" ht="1.5" customHeight="1" thickTop="1" x14ac:dyDescent="0.15">
      <c r="A6" s="144"/>
      <c r="B6" s="145"/>
      <c r="C6" s="146">
        <f>O4/365</f>
        <v>3</v>
      </c>
      <c r="D6" s="146">
        <f>O4/365</f>
        <v>3</v>
      </c>
      <c r="E6" s="146">
        <f>(E5-D5)/365</f>
        <v>1.0027397260273974</v>
      </c>
      <c r="F6" s="146">
        <f>(F5-E5)/365</f>
        <v>1.0821917808219179</v>
      </c>
      <c r="G6" s="146">
        <f>(G5-F5)/365</f>
        <v>1</v>
      </c>
      <c r="H6" s="147">
        <f>(H5-G5)/365</f>
        <v>15.010958904109589</v>
      </c>
      <c r="I6" s="148"/>
      <c r="J6" s="1249"/>
      <c r="K6" s="1249"/>
      <c r="L6" s="1249"/>
      <c r="M6" s="1249"/>
      <c r="N6" s="1250"/>
      <c r="O6" s="1424"/>
    </row>
    <row r="7" spans="1:20" s="143" customFormat="1" ht="13.5" customHeight="1" x14ac:dyDescent="0.15">
      <c r="A7" s="230" t="str">
        <f>IF(OR(G5=0,G5=""),"Date d'arrêté à saisir ci-dessous en ''G'', ligne 23, dans la cellule blanche.","")</f>
        <v/>
      </c>
      <c r="B7" s="145"/>
      <c r="C7" s="150"/>
      <c r="D7" s="1347" t="s">
        <v>70</v>
      </c>
      <c r="E7" s="1348" t="s">
        <v>70</v>
      </c>
      <c r="F7" s="1348" t="s">
        <v>70</v>
      </c>
      <c r="G7" s="1348" t="s">
        <v>205</v>
      </c>
      <c r="H7" s="1250" t="s">
        <v>205</v>
      </c>
      <c r="I7" s="148" t="str">
        <f>IF(OR(O4&lt;=0,O4=""),"Saisir durée, en jours, du 1er exercice histo., dans la cellule ''M'' ici à droite, ligne 22 :","")</f>
        <v/>
      </c>
      <c r="J7" s="1351">
        <f>J8/J31</f>
        <v>0.2264374495801374</v>
      </c>
      <c r="K7" s="1351">
        <f>K8/K31</f>
        <v>0.16324501541979333</v>
      </c>
      <c r="L7" s="1351">
        <f>L8/L31</f>
        <v>0.16304814707469703</v>
      </c>
      <c r="M7" s="1351">
        <f>M8/M31</f>
        <v>0.1416614171028199</v>
      </c>
      <c r="N7" s="1351">
        <f>N8/N31</f>
        <v>0.81499833478187</v>
      </c>
      <c r="O7" s="1424"/>
    </row>
    <row r="8" spans="1:20" s="143" customFormat="1" ht="13.5" customHeight="1" x14ac:dyDescent="0.15">
      <c r="A8" s="151" t="s">
        <v>122</v>
      </c>
      <c r="B8" s="152"/>
      <c r="C8" s="153">
        <f t="shared" ref="C8:H8" si="0">C14+C17+C18+C19</f>
        <v>0</v>
      </c>
      <c r="D8" s="153">
        <f t="shared" si="0"/>
        <v>115622.32399999999</v>
      </c>
      <c r="E8" s="1264">
        <f t="shared" si="0"/>
        <v>157693.05366999999</v>
      </c>
      <c r="F8" s="1264">
        <f t="shared" si="0"/>
        <v>101683.47899999998</v>
      </c>
      <c r="G8" s="1264">
        <f t="shared" si="0"/>
        <v>97497.075000000041</v>
      </c>
      <c r="H8" s="1265">
        <f t="shared" si="0"/>
        <v>49709.865999999995</v>
      </c>
      <c r="I8" s="154" t="s">
        <v>123</v>
      </c>
      <c r="J8" s="1251">
        <f>J10+J11+J12+J13</f>
        <v>85587.930500000002</v>
      </c>
      <c r="K8" s="1251">
        <f>K10+K11+K12+K13</f>
        <v>105471.01571000001</v>
      </c>
      <c r="L8" s="1251">
        <f>L10+L11+L12+L13</f>
        <v>126814.251</v>
      </c>
      <c r="M8" s="1251">
        <f>M10+M11+M12+M13</f>
        <v>157044.05299999999</v>
      </c>
      <c r="N8" s="1252">
        <f>N10+N11+N12+N13</f>
        <v>97943.604999999996</v>
      </c>
      <c r="O8" s="1425"/>
    </row>
    <row r="9" spans="1:20" s="143" customFormat="1" ht="13.5" customHeight="1" x14ac:dyDescent="0.15">
      <c r="A9" s="142"/>
      <c r="B9" s="149"/>
      <c r="C9" s="156"/>
      <c r="D9" s="156"/>
      <c r="E9" s="1262"/>
      <c r="F9" s="1262"/>
      <c r="G9" s="1262"/>
      <c r="H9" s="1318"/>
      <c r="I9" s="142"/>
      <c r="J9" s="195"/>
      <c r="K9" s="195"/>
      <c r="L9" s="195"/>
      <c r="M9" s="195"/>
      <c r="N9" s="196"/>
      <c r="O9" s="1425"/>
    </row>
    <row r="10" spans="1:20" s="143" customFormat="1" ht="13.5" customHeight="1" x14ac:dyDescent="0.15">
      <c r="A10" s="158" t="s">
        <v>124</v>
      </c>
      <c r="B10" s="128"/>
      <c r="C10" s="159">
        <f>Saisie!D4+Saisie!D13</f>
        <v>0</v>
      </c>
      <c r="D10" s="173">
        <f>Saisie!E4+Saisie!E13</f>
        <v>88086.06</v>
      </c>
      <c r="E10" s="1276">
        <f>Saisie!F4+Saisie!F13</f>
        <v>149520.26798</v>
      </c>
      <c r="F10" s="1276">
        <f>Saisie!G4+Saisie!G13</f>
        <v>161675.93</v>
      </c>
      <c r="G10" s="1276">
        <f>Saisie!H4+Saisie!H13</f>
        <v>187435.79900000003</v>
      </c>
      <c r="H10" s="1276">
        <f>Saisie!I4+Saisie!I13</f>
        <v>78788.03</v>
      </c>
      <c r="I10" s="160" t="s">
        <v>125</v>
      </c>
      <c r="J10" s="1253">
        <f>Saisie!E67</f>
        <v>55000</v>
      </c>
      <c r="K10" s="1253">
        <f>Saisie!F67</f>
        <v>55000</v>
      </c>
      <c r="L10" s="1253">
        <f>Saisie!G67</f>
        <v>55000</v>
      </c>
      <c r="M10" s="1253">
        <f>Saisie!H67</f>
        <v>55000</v>
      </c>
      <c r="N10" s="1254">
        <f>Saisie!I67</f>
        <v>50465</v>
      </c>
      <c r="O10" s="1425"/>
    </row>
    <row r="11" spans="1:20" ht="13.5" customHeight="1" x14ac:dyDescent="0.15">
      <c r="A11" s="158" t="s">
        <v>126</v>
      </c>
      <c r="B11" s="128"/>
      <c r="C11" s="159">
        <f>Saisie!D10+Saisie!D15</f>
        <v>0</v>
      </c>
      <c r="D11" s="173">
        <f>Saisie!E10+Saisie!E15</f>
        <v>23976.664000000001</v>
      </c>
      <c r="E11" s="1276">
        <f>Saisie!F10+Saisie!F15</f>
        <v>43340.141960000001</v>
      </c>
      <c r="F11" s="1276">
        <f>Saisie!G10+Saisie!G15</f>
        <v>64227.836000000003</v>
      </c>
      <c r="G11" s="1276">
        <f>Saisie!H10+Saisie!H15</f>
        <v>91785.723999999987</v>
      </c>
      <c r="H11" s="1276">
        <f>Saisie!I10+Saisie!I15</f>
        <v>29078.164000000001</v>
      </c>
      <c r="I11" s="160" t="s">
        <v>127</v>
      </c>
      <c r="J11" s="1255">
        <f>Saisie!E71</f>
        <v>21587.473000000002</v>
      </c>
      <c r="K11" s="1255">
        <f>Saisie!F71</f>
        <v>32088.00706</v>
      </c>
      <c r="L11" s="1255">
        <f>Saisie!G71</f>
        <v>50446.012999999999</v>
      </c>
      <c r="M11" s="1255">
        <f>Saisie!H71</f>
        <v>74277.391999999993</v>
      </c>
      <c r="N11" s="1256">
        <f>Saisie!I71</f>
        <v>33176.275000000001</v>
      </c>
    </row>
    <row r="12" spans="1:20" ht="13.5" customHeight="1" x14ac:dyDescent="0.15">
      <c r="A12" s="158"/>
      <c r="B12" s="128"/>
      <c r="C12" s="162"/>
      <c r="D12" s="162"/>
      <c r="E12" s="1319"/>
      <c r="F12" s="1319"/>
      <c r="G12" s="1319"/>
      <c r="H12" s="1319"/>
      <c r="I12" s="160" t="s">
        <v>82</v>
      </c>
      <c r="J12" s="1255">
        <f>Saisie!E77</f>
        <v>9000.4575000000004</v>
      </c>
      <c r="K12" s="1255">
        <f>Saisie!F77</f>
        <v>18383.00865</v>
      </c>
      <c r="L12" s="1255">
        <f>Saisie!G77</f>
        <v>21368.238000000001</v>
      </c>
      <c r="M12" s="1255">
        <f>Saisie!H77</f>
        <v>27766.661</v>
      </c>
      <c r="N12" s="1256">
        <f>Saisie!I77</f>
        <v>14302.33</v>
      </c>
    </row>
    <row r="13" spans="1:20" ht="13.5" customHeight="1" x14ac:dyDescent="0.15">
      <c r="A13" s="142"/>
      <c r="B13" s="149"/>
      <c r="C13" s="163"/>
      <c r="D13" s="163"/>
      <c r="E13" s="1320"/>
      <c r="F13" s="1320"/>
      <c r="G13" s="1320"/>
      <c r="H13" s="1321"/>
      <c r="I13" s="160" t="s">
        <v>129</v>
      </c>
      <c r="J13" s="1257">
        <f>Saisie!E80</f>
        <v>0</v>
      </c>
      <c r="K13" s="1257">
        <f>Saisie!F80</f>
        <v>0</v>
      </c>
      <c r="L13" s="1257">
        <f>Saisie!G80</f>
        <v>0</v>
      </c>
      <c r="M13" s="1257">
        <f>Saisie!H80</f>
        <v>0</v>
      </c>
      <c r="N13" s="1256">
        <f>Saisie!I80</f>
        <v>0</v>
      </c>
    </row>
    <row r="14" spans="1:20" ht="13.5" customHeight="1" x14ac:dyDescent="0.15">
      <c r="A14" s="165" t="s">
        <v>130</v>
      </c>
      <c r="B14" s="166"/>
      <c r="C14" s="167">
        <f t="shared" ref="C14:H14" si="1">C10-C11</f>
        <v>0</v>
      </c>
      <c r="D14" s="167">
        <f t="shared" si="1"/>
        <v>64109.395999999993</v>
      </c>
      <c r="E14" s="1322">
        <f t="shared" si="1"/>
        <v>106180.12602</v>
      </c>
      <c r="F14" s="1322">
        <f t="shared" si="1"/>
        <v>97448.093999999983</v>
      </c>
      <c r="G14" s="1322">
        <f t="shared" si="1"/>
        <v>95650.075000000041</v>
      </c>
      <c r="H14" s="1322">
        <f t="shared" si="1"/>
        <v>49709.865999999995</v>
      </c>
      <c r="I14" s="168"/>
      <c r="J14" s="1258"/>
      <c r="K14" s="1258"/>
      <c r="L14" s="1258"/>
      <c r="M14" s="1258"/>
      <c r="N14" s="1259"/>
    </row>
    <row r="15" spans="1:20" ht="13.5" customHeight="1" x14ac:dyDescent="0.15">
      <c r="A15" s="170" t="s">
        <v>131</v>
      </c>
      <c r="B15" s="171"/>
      <c r="C15" s="172">
        <f>Saisie!D4-Saisie!D10</f>
        <v>0</v>
      </c>
      <c r="D15" s="172">
        <f>Saisie!E4-Saisie!E10</f>
        <v>0</v>
      </c>
      <c r="E15" s="1268">
        <f>Saisie!F4-Saisie!F10</f>
        <v>41.25</v>
      </c>
      <c r="F15" s="1268">
        <f>Saisie!G4-Saisie!G10</f>
        <v>14.534000000000001</v>
      </c>
      <c r="G15" s="1268">
        <f>Saisie!H4-Saisie!H10</f>
        <v>419.16699999999997</v>
      </c>
      <c r="H15" s="1268">
        <f>Saisie!I4-Saisie!I10</f>
        <v>1061</v>
      </c>
      <c r="I15" s="151" t="s">
        <v>132</v>
      </c>
      <c r="J15" s="1260">
        <f>Saisie!E83</f>
        <v>0</v>
      </c>
      <c r="K15" s="1260">
        <f>Saisie!F83</f>
        <v>0</v>
      </c>
      <c r="L15" s="1260">
        <f>Saisie!G83</f>
        <v>0</v>
      </c>
      <c r="M15" s="1260">
        <f>Saisie!H83</f>
        <v>0</v>
      </c>
      <c r="N15" s="1261">
        <f>Saisie!I83</f>
        <v>0</v>
      </c>
    </row>
    <row r="16" spans="1:20" ht="13.5" customHeight="1" x14ac:dyDescent="0.15">
      <c r="A16" s="142"/>
      <c r="B16" s="149"/>
      <c r="C16" s="163"/>
      <c r="D16" s="163"/>
      <c r="E16" s="1323"/>
      <c r="F16" s="1323"/>
      <c r="G16" s="1323"/>
      <c r="H16" s="1324"/>
      <c r="I16" s="142" t="s">
        <v>133</v>
      </c>
      <c r="J16" s="1262"/>
      <c r="K16" s="1262"/>
      <c r="L16" s="1262"/>
      <c r="M16" s="1262"/>
      <c r="N16" s="1263"/>
    </row>
    <row r="17" spans="1:21" ht="13.5" customHeight="1" x14ac:dyDescent="0.15">
      <c r="A17" s="158" t="s">
        <v>134</v>
      </c>
      <c r="B17" s="128"/>
      <c r="C17" s="173">
        <f>Saisie!D17</f>
        <v>0</v>
      </c>
      <c r="D17" s="173">
        <f>Saisie!E17</f>
        <v>0</v>
      </c>
      <c r="E17" s="1276">
        <f>Saisie!F17</f>
        <v>0</v>
      </c>
      <c r="F17" s="1276">
        <f>Saisie!G17</f>
        <v>0</v>
      </c>
      <c r="G17" s="1276">
        <f>Saisie!H17</f>
        <v>0</v>
      </c>
      <c r="H17" s="1276">
        <f>Saisie!I17</f>
        <v>0</v>
      </c>
      <c r="I17" s="151" t="s">
        <v>135</v>
      </c>
      <c r="J17" s="1264">
        <f>J19+J21</f>
        <v>98967.399000000005</v>
      </c>
      <c r="K17" s="1264">
        <f>K19+K21</f>
        <v>129227.14337000001</v>
      </c>
      <c r="L17" s="1264">
        <f>L19+L21</f>
        <v>122730.389</v>
      </c>
      <c r="M17" s="1264">
        <f>M19+M21</f>
        <v>123773.39499999999</v>
      </c>
      <c r="N17" s="1265">
        <f>N19+N21</f>
        <v>0</v>
      </c>
    </row>
    <row r="18" spans="1:21" s="143" customFormat="1" ht="13.5" customHeight="1" x14ac:dyDescent="0.15">
      <c r="A18" s="158" t="s">
        <v>136</v>
      </c>
      <c r="B18" s="128"/>
      <c r="C18" s="173">
        <f>Saisie!D20</f>
        <v>0</v>
      </c>
      <c r="D18" s="173">
        <f>Saisie!E20</f>
        <v>51512.928</v>
      </c>
      <c r="E18" s="1276">
        <f>Saisie!F20</f>
        <v>51512.927649999998</v>
      </c>
      <c r="F18" s="1276">
        <f>Saisie!G20</f>
        <v>3813.9920000000002</v>
      </c>
      <c r="G18" s="1276">
        <f>Saisie!H20</f>
        <v>1847</v>
      </c>
      <c r="H18" s="1276">
        <f>Saisie!I20</f>
        <v>0</v>
      </c>
      <c r="I18" s="158"/>
      <c r="J18" s="1266"/>
      <c r="K18" s="1266"/>
      <c r="L18" s="1266"/>
      <c r="M18" s="1266"/>
      <c r="N18" s="1267"/>
      <c r="O18" s="1425"/>
    </row>
    <row r="19" spans="1:21" s="143" customFormat="1" ht="13.5" customHeight="1" x14ac:dyDescent="0.15">
      <c r="A19" s="158" t="s">
        <v>137</v>
      </c>
      <c r="B19" s="128"/>
      <c r="C19" s="173">
        <f>Saisie!D33</f>
        <v>0</v>
      </c>
      <c r="D19" s="173">
        <f>Saisie!E33</f>
        <v>0</v>
      </c>
      <c r="E19" s="1276">
        <f>Saisie!F33</f>
        <v>0</v>
      </c>
      <c r="F19" s="1276">
        <f>Saisie!G33</f>
        <v>421.39299999999997</v>
      </c>
      <c r="G19" s="1276">
        <f>Saisie!H33</f>
        <v>0</v>
      </c>
      <c r="H19" s="1276">
        <f>Saisie!I33</f>
        <v>0</v>
      </c>
      <c r="I19" s="160" t="s">
        <v>138</v>
      </c>
      <c r="J19" s="1253">
        <f>Saisie!E86</f>
        <v>45584</v>
      </c>
      <c r="K19" s="1253">
        <f>Saisie!F86</f>
        <v>50953.40238</v>
      </c>
      <c r="L19" s="1253">
        <f>Saisie!G86</f>
        <v>50000</v>
      </c>
      <c r="M19" s="1253">
        <f>Saisie!H86</f>
        <v>51043.006000000001</v>
      </c>
      <c r="N19" s="1254">
        <f>Saisie!I86</f>
        <v>0</v>
      </c>
      <c r="O19" s="1425"/>
    </row>
    <row r="20" spans="1:21" ht="13.5" customHeight="1" x14ac:dyDescent="0.15">
      <c r="A20" s="142"/>
      <c r="B20" s="149"/>
      <c r="C20" s="156"/>
      <c r="D20" s="156"/>
      <c r="E20" s="1262"/>
      <c r="F20" s="1262"/>
      <c r="G20" s="1262"/>
      <c r="H20" s="1318"/>
      <c r="I20" s="160" t="s">
        <v>139</v>
      </c>
      <c r="J20" s="1268">
        <f>Saisie!E192</f>
        <v>0</v>
      </c>
      <c r="K20" s="1268">
        <f>Saisie!F192</f>
        <v>0</v>
      </c>
      <c r="L20" s="1268">
        <f>Saisie!G192</f>
        <v>0</v>
      </c>
      <c r="M20" s="1268">
        <f>Saisie!H192</f>
        <v>0</v>
      </c>
      <c r="N20" s="1269">
        <f>Saisie!I192</f>
        <v>0</v>
      </c>
    </row>
    <row r="21" spans="1:21" ht="13.5" customHeight="1" x14ac:dyDescent="0.15">
      <c r="A21" s="151" t="s">
        <v>140</v>
      </c>
      <c r="B21" s="152"/>
      <c r="C21" s="153">
        <f t="shared" ref="C21:H21" si="2">C23+C25+C26+C27+C28</f>
        <v>0</v>
      </c>
      <c r="D21" s="153">
        <f t="shared" si="2"/>
        <v>262353.71600000001</v>
      </c>
      <c r="E21" s="1264">
        <f t="shared" si="2"/>
        <v>488397.21701000002</v>
      </c>
      <c r="F21" s="1264">
        <f t="shared" si="2"/>
        <v>676088.32299999997</v>
      </c>
      <c r="G21" s="1264">
        <f t="shared" si="2"/>
        <v>1011090.268</v>
      </c>
      <c r="H21" s="1264">
        <f t="shared" si="2"/>
        <v>35357.561000000002</v>
      </c>
      <c r="I21" s="160" t="s">
        <v>137</v>
      </c>
      <c r="J21" s="1253">
        <f>Saisie!E96</f>
        <v>53383.398999999998</v>
      </c>
      <c r="K21" s="1253">
        <f>Saisie!F96</f>
        <v>78273.740990000006</v>
      </c>
      <c r="L21" s="1253">
        <f>Saisie!G96</f>
        <v>72730.388999999996</v>
      </c>
      <c r="M21" s="1253">
        <f>Saisie!H96</f>
        <v>72730.388999999996</v>
      </c>
      <c r="N21" s="1254">
        <f>Saisie!I96</f>
        <v>0</v>
      </c>
    </row>
    <row r="22" spans="1:21" ht="13.5" customHeight="1" x14ac:dyDescent="0.15">
      <c r="A22" s="142"/>
      <c r="B22" s="149"/>
      <c r="C22" s="156"/>
      <c r="D22" s="156"/>
      <c r="E22" s="1262"/>
      <c r="F22" s="1262"/>
      <c r="G22" s="1262"/>
      <c r="H22" s="1318"/>
      <c r="I22" s="175"/>
      <c r="J22" s="1270"/>
      <c r="K22" s="1270"/>
      <c r="L22" s="1270"/>
      <c r="M22" s="1270"/>
      <c r="N22" s="1271"/>
    </row>
    <row r="23" spans="1:21" ht="13.5" customHeight="1" x14ac:dyDescent="0.15">
      <c r="A23" s="158" t="s">
        <v>141</v>
      </c>
      <c r="B23" s="128"/>
      <c r="C23" s="173">
        <f>Saisie!D37</f>
        <v>0</v>
      </c>
      <c r="D23" s="173">
        <f>Saisie!E37</f>
        <v>108697.292</v>
      </c>
      <c r="E23" s="1276">
        <f>Saisie!F37</f>
        <v>262709.32185999997</v>
      </c>
      <c r="F23" s="1276">
        <f>Saisie!G37</f>
        <v>475743.80599999998</v>
      </c>
      <c r="G23" s="1276">
        <f>Saisie!H37</f>
        <v>444621.93699999998</v>
      </c>
      <c r="H23" s="1276">
        <f>Saisie!I37</f>
        <v>19958.439999999999</v>
      </c>
      <c r="I23" s="151" t="s">
        <v>142</v>
      </c>
      <c r="J23" s="1264">
        <f>J25+J26+J27+J29</f>
        <v>193420.71049999999</v>
      </c>
      <c r="K23" s="1264">
        <f>K25+K26+K27+K29</f>
        <v>411392.10860000004</v>
      </c>
      <c r="L23" s="1264">
        <f>L25+L26+L27+L29</f>
        <v>528227.16100000008</v>
      </c>
      <c r="M23" s="1264">
        <f>M25+M26+M27+M29</f>
        <v>827769.88800000004</v>
      </c>
      <c r="N23" s="1265">
        <f>N25+N26+N27+N29</f>
        <v>22232.843000000001</v>
      </c>
    </row>
    <row r="24" spans="1:21" ht="13.5" customHeight="1" x14ac:dyDescent="0.15">
      <c r="A24" s="158" t="s">
        <v>143</v>
      </c>
      <c r="B24" s="128"/>
      <c r="C24" s="162">
        <f>Saisie!D40-Saisie!D44</f>
        <v>0</v>
      </c>
      <c r="D24" s="162">
        <f>Saisie!E40-Saisie!E44</f>
        <v>0</v>
      </c>
      <c r="E24" s="1319">
        <f>Saisie!F40-Saisie!F44</f>
        <v>0</v>
      </c>
      <c r="F24" s="1319">
        <f>Saisie!G40-Saisie!G44</f>
        <v>0</v>
      </c>
      <c r="G24" s="1319">
        <f>Saisie!H40-Saisie!H44</f>
        <v>0</v>
      </c>
      <c r="H24" s="1319">
        <f>Saisie!I40-Saisie!I44</f>
        <v>0</v>
      </c>
      <c r="I24" s="160"/>
      <c r="J24" s="1272"/>
      <c r="K24" s="1272"/>
      <c r="L24" s="1272"/>
      <c r="M24" s="1272"/>
      <c r="N24" s="1273"/>
    </row>
    <row r="25" spans="1:21" ht="13.5" customHeight="1" x14ac:dyDescent="0.15">
      <c r="A25" s="158" t="s">
        <v>144</v>
      </c>
      <c r="B25" s="128"/>
      <c r="C25" s="173">
        <f>Saisie!D46</f>
        <v>0</v>
      </c>
      <c r="D25" s="173">
        <f>Saisie!E46</f>
        <v>107718.958</v>
      </c>
      <c r="E25" s="1276">
        <f>Saisie!F46</f>
        <v>57395.549730000006</v>
      </c>
      <c r="F25" s="1276">
        <f>Saisie!G46</f>
        <v>117587.53600000001</v>
      </c>
      <c r="G25" s="1276">
        <f>Saisie!H46</f>
        <v>383709.15600000002</v>
      </c>
      <c r="H25" s="1276">
        <f>Saisie!I46</f>
        <v>1296.442</v>
      </c>
      <c r="I25" s="160" t="s">
        <v>145</v>
      </c>
      <c r="J25" s="1253">
        <f>Saisie!E98</f>
        <v>0</v>
      </c>
      <c r="K25" s="1253">
        <f>Saisie!F98</f>
        <v>296.01150000000001</v>
      </c>
      <c r="L25" s="1253">
        <f>Saisie!G98</f>
        <v>0</v>
      </c>
      <c r="M25" s="1253">
        <f>Saisie!H98</f>
        <v>0</v>
      </c>
      <c r="N25" s="1254">
        <f>Saisie!I98</f>
        <v>0</v>
      </c>
    </row>
    <row r="26" spans="1:21" ht="13.5" customHeight="1" x14ac:dyDescent="0.15">
      <c r="A26" s="158" t="s">
        <v>146</v>
      </c>
      <c r="B26" s="128"/>
      <c r="C26" s="173">
        <f>Saisie!D49</f>
        <v>0</v>
      </c>
      <c r="D26" s="173">
        <f>Saisie!E49</f>
        <v>15533.525</v>
      </c>
      <c r="E26" s="1276">
        <f>Saisie!F49</f>
        <v>41872.384389999999</v>
      </c>
      <c r="F26" s="1276">
        <f>Saisie!G49</f>
        <v>60028.927000000003</v>
      </c>
      <c r="G26" s="1276">
        <f>Saisie!H49</f>
        <v>78139.475999999995</v>
      </c>
      <c r="H26" s="1276">
        <f>Saisie!I49</f>
        <v>11966.525000000001</v>
      </c>
      <c r="I26" s="160" t="s">
        <v>147</v>
      </c>
      <c r="J26" s="1253">
        <f>Saisie!E100</f>
        <v>68995.585999999996</v>
      </c>
      <c r="K26" s="1253">
        <f>Saisie!F100</f>
        <v>205984.72002000001</v>
      </c>
      <c r="L26" s="1253">
        <f>Saisie!G100</f>
        <v>130093.202</v>
      </c>
      <c r="M26" s="1253">
        <f>Saisie!H100</f>
        <v>331432.50400000002</v>
      </c>
      <c r="N26" s="1254">
        <f>Saisie!I100</f>
        <v>9867.1939999999995</v>
      </c>
    </row>
    <row r="27" spans="1:21" ht="13.5" customHeight="1" x14ac:dyDescent="0.15">
      <c r="A27" s="158" t="s">
        <v>148</v>
      </c>
      <c r="B27" s="128"/>
      <c r="C27" s="159">
        <f>Saisie!D58</f>
        <v>0</v>
      </c>
      <c r="D27" s="173">
        <f>Saisie!E58</f>
        <v>0</v>
      </c>
      <c r="E27" s="1276">
        <f>Saisie!F58</f>
        <v>0</v>
      </c>
      <c r="F27" s="1276">
        <f>Saisie!G58</f>
        <v>0</v>
      </c>
      <c r="G27" s="1276">
        <f>Saisie!H58</f>
        <v>0</v>
      </c>
      <c r="H27" s="1276">
        <f>Saisie!I58</f>
        <v>0</v>
      </c>
      <c r="I27" s="160" t="s">
        <v>149</v>
      </c>
      <c r="J27" s="1253">
        <f>Saisie!E102</f>
        <v>87623.951499999996</v>
      </c>
      <c r="K27" s="1253">
        <f>Saisie!F102</f>
        <v>16214.818780000001</v>
      </c>
      <c r="L27" s="1253">
        <f>Saisie!G102</f>
        <v>230249.90599999999</v>
      </c>
      <c r="M27" s="1253">
        <f>Saisie!H102</f>
        <v>44421.924999999996</v>
      </c>
      <c r="N27" s="1254">
        <f>Saisie!I102</f>
        <v>8267.0889999999999</v>
      </c>
    </row>
    <row r="28" spans="1:21" ht="13.5" customHeight="1" x14ac:dyDescent="0.15">
      <c r="A28" s="158" t="s">
        <v>150</v>
      </c>
      <c r="B28" s="128"/>
      <c r="C28" s="159">
        <f>Saisie!D62</f>
        <v>0</v>
      </c>
      <c r="D28" s="173">
        <f>Saisie!E62</f>
        <v>30403.940999999999</v>
      </c>
      <c r="E28" s="1276">
        <f>Saisie!F62</f>
        <v>126419.96103000001</v>
      </c>
      <c r="F28" s="1276">
        <f>Saisie!G62</f>
        <v>22728.054</v>
      </c>
      <c r="G28" s="1276">
        <f>Saisie!H62</f>
        <v>104619.69899999999</v>
      </c>
      <c r="H28" s="1276">
        <f>Saisie!I62</f>
        <v>2136.154</v>
      </c>
      <c r="I28" s="160" t="s">
        <v>151</v>
      </c>
      <c r="J28" s="1268">
        <f>Saisie!E105+Saisie!E106+Saisie!E110+Saisie!E111</f>
        <v>0</v>
      </c>
      <c r="K28" s="1268">
        <f>Saisie!F105+Saisie!F106+Saisie!F110+Saisie!F111</f>
        <v>0</v>
      </c>
      <c r="L28" s="1268">
        <f>Saisie!G105+Saisie!G106+Saisie!G110+Saisie!G111</f>
        <v>0</v>
      </c>
      <c r="M28" s="1268">
        <f>Saisie!H105+Saisie!H106+Saisie!H110+Saisie!H111</f>
        <v>844.24800000000005</v>
      </c>
      <c r="N28" s="1269">
        <f>Saisie!I105+Saisie!I106+Saisie!I110+Saisie!I111</f>
        <v>4689.4170000000004</v>
      </c>
    </row>
    <row r="29" spans="1:21" ht="13.5" customHeight="1" x14ac:dyDescent="0.15">
      <c r="A29" s="142"/>
      <c r="B29" s="149"/>
      <c r="C29" s="156"/>
      <c r="D29" s="156"/>
      <c r="E29" s="1262"/>
      <c r="F29" s="1262"/>
      <c r="G29" s="1262"/>
      <c r="H29" s="1318"/>
      <c r="I29" s="160" t="s">
        <v>152</v>
      </c>
      <c r="J29" s="1253">
        <f>Saisie!E112</f>
        <v>36801.173000000003</v>
      </c>
      <c r="K29" s="1253">
        <f>Saisie!F112</f>
        <v>188896.5583</v>
      </c>
      <c r="L29" s="1253">
        <f>Saisie!G112</f>
        <v>167884.05300000001</v>
      </c>
      <c r="M29" s="1253">
        <f>Saisie!H112</f>
        <v>451915.45899999997</v>
      </c>
      <c r="N29" s="1254">
        <f>Saisie!I112</f>
        <v>4098.5600000000004</v>
      </c>
    </row>
    <row r="30" spans="1:21" s="143" customFormat="1" ht="13.5" customHeight="1" x14ac:dyDescent="0.15">
      <c r="A30" s="142"/>
      <c r="B30" s="149"/>
      <c r="C30" s="156"/>
      <c r="D30" s="156"/>
      <c r="E30" s="1262"/>
      <c r="F30" s="1262"/>
      <c r="G30" s="1262"/>
      <c r="H30" s="1318"/>
      <c r="I30" s="142"/>
      <c r="J30" s="195"/>
      <c r="K30" s="195"/>
      <c r="L30" s="195"/>
      <c r="M30" s="195"/>
      <c r="N30" s="196"/>
      <c r="O30" s="1425"/>
      <c r="Q30" s="127"/>
      <c r="R30" s="127"/>
      <c r="S30" s="127"/>
      <c r="T30" s="127"/>
      <c r="U30" s="127"/>
    </row>
    <row r="31" spans="1:21" s="143" customFormat="1" ht="15.75" customHeight="1" thickBot="1" x14ac:dyDescent="0.2">
      <c r="A31" s="176" t="s">
        <v>153</v>
      </c>
      <c r="B31" s="177"/>
      <c r="C31" s="178">
        <f t="shared" ref="C31:H31" si="3">C21+C8</f>
        <v>0</v>
      </c>
      <c r="D31" s="178">
        <f t="shared" si="3"/>
        <v>377976.04000000004</v>
      </c>
      <c r="E31" s="1274">
        <f t="shared" si="3"/>
        <v>646090.27068000007</v>
      </c>
      <c r="F31" s="1274">
        <f t="shared" si="3"/>
        <v>777771.80199999991</v>
      </c>
      <c r="G31" s="1274">
        <f t="shared" si="3"/>
        <v>1108587.3430000001</v>
      </c>
      <c r="H31" s="1274">
        <f t="shared" si="3"/>
        <v>85067.426999999996</v>
      </c>
      <c r="I31" s="176" t="s">
        <v>154</v>
      </c>
      <c r="J31" s="1274">
        <f>J23+J17+J15+J8</f>
        <v>377976.04000000004</v>
      </c>
      <c r="K31" s="1274">
        <f>K23+K17+K15+K8</f>
        <v>646090.26768000005</v>
      </c>
      <c r="L31" s="1274">
        <f>L23+L17+L15+L8</f>
        <v>777771.80100000009</v>
      </c>
      <c r="M31" s="1274">
        <f>M23+M17+M15+M8</f>
        <v>1108587.3360000001</v>
      </c>
      <c r="N31" s="1275">
        <f>N23+N17+N15+N8</f>
        <v>120176.448</v>
      </c>
      <c r="O31" s="1425"/>
    </row>
    <row r="32" spans="1:21" s="143" customFormat="1" ht="13.5" customHeight="1" thickTop="1" x14ac:dyDescent="0.15">
      <c r="A32" s="179" t="str">
        <f>IF(AND(D32="",E32="",F32="",G32=""),""," Actif = Passif ?")</f>
        <v/>
      </c>
      <c r="B32" s="180"/>
      <c r="C32" s="180"/>
      <c r="D32" s="195" t="str">
        <f>IF(AND(D31=0,J31=0),"",IF(AND((D31-J31)&gt;=-0.1,(D31-J31)&lt;=0.1),"","Erreur!"))</f>
        <v/>
      </c>
      <c r="E32" s="195" t="str">
        <f>IF(AND(E31=0,K31=0),"",IF(AND((E31-K31)&gt;=-0.1,(E31-K31)&lt;=0.1),"","Erreur!"))</f>
        <v/>
      </c>
      <c r="F32" s="195" t="str">
        <f>IF(AND(F31=0,L31=0),"",IF(AND((F31-L31)&gt;=-0.1,(F31-L31)&lt;=0.1),"","Erreur!"))</f>
        <v/>
      </c>
      <c r="G32" s="195" t="str">
        <f>IF(AND(G31=0,M31=0),"",IF(AND((G31-M31)&gt;=-0.1,(G31-M31)&lt;=0.1),"","Erreur!"))</f>
        <v/>
      </c>
      <c r="H32" s="195" t="str">
        <f>IF(AND(H31=0,N31=0),"",IF(AND((H31-N31)&gt;=-0.1,(H31-N31)&lt;=0.1),"","Erreur!"))</f>
        <v>Erreur!</v>
      </c>
      <c r="I32" s="142" t="str">
        <f>IF(AND(D32="",E32="",F32="",G32=""),""," Si erreur, Actif - Passif = ?")</f>
        <v/>
      </c>
      <c r="J32" s="195" t="str">
        <f>IF(D32="Erreur!",D31-J31,"")</f>
        <v/>
      </c>
      <c r="K32" s="195" t="str">
        <f>IF(E32="Erreur!",E31-K31,"")</f>
        <v/>
      </c>
      <c r="L32" s="195" t="str">
        <f>IF(F32="Erreur!",F31-L31,"")</f>
        <v/>
      </c>
      <c r="M32" s="195" t="str">
        <f>IF(G32="Erreur!",G31-M31,"")</f>
        <v/>
      </c>
      <c r="N32" s="196">
        <f>IF(H32="Erreur!",H31-N31,"")</f>
        <v>-35109.021000000008</v>
      </c>
      <c r="O32" s="1425"/>
    </row>
    <row r="33" spans="1:20" ht="13.5" customHeight="1" x14ac:dyDescent="0.15">
      <c r="A33" s="142" t="s">
        <v>155</v>
      </c>
      <c r="B33" s="149"/>
      <c r="C33" s="149"/>
      <c r="D33" s="169"/>
      <c r="E33" s="1325"/>
      <c r="F33" s="1325"/>
      <c r="G33" s="1325"/>
      <c r="H33" s="1325"/>
      <c r="I33" s="142" t="s">
        <v>156</v>
      </c>
      <c r="J33" s="1258"/>
      <c r="K33" s="1258"/>
      <c r="L33" s="1258"/>
      <c r="M33" s="1258"/>
      <c r="N33" s="1259"/>
    </row>
    <row r="34" spans="1:20" ht="13.5" customHeight="1" x14ac:dyDescent="0.15">
      <c r="A34" s="182" t="s">
        <v>157</v>
      </c>
      <c r="B34" s="183"/>
      <c r="C34" s="183"/>
      <c r="D34" s="184">
        <f>Saisie!E65</f>
        <v>0</v>
      </c>
      <c r="E34" s="1326">
        <f>Saisie!F65</f>
        <v>0</v>
      </c>
      <c r="F34" s="1326">
        <f>Saisie!G65</f>
        <v>0</v>
      </c>
      <c r="G34" s="1326">
        <f>Saisie!H65</f>
        <v>0</v>
      </c>
      <c r="H34" s="1326">
        <f>Saisie!I65</f>
        <v>0</v>
      </c>
      <c r="I34" s="160" t="s">
        <v>158</v>
      </c>
      <c r="J34" s="1276">
        <f>Saisie!E115</f>
        <v>0</v>
      </c>
      <c r="K34" s="1276">
        <f>Saisie!F115</f>
        <v>0</v>
      </c>
      <c r="L34" s="1276">
        <f>Saisie!G115</f>
        <v>0</v>
      </c>
      <c r="M34" s="1276">
        <f>Saisie!H115</f>
        <v>0</v>
      </c>
      <c r="N34" s="1254">
        <f>Saisie!I115</f>
        <v>0</v>
      </c>
    </row>
    <row r="35" spans="1:20" ht="13.5" customHeight="1" x14ac:dyDescent="0.15">
      <c r="A35" s="142" t="s">
        <v>85</v>
      </c>
      <c r="B35" s="128"/>
      <c r="C35" s="128"/>
      <c r="D35" s="157">
        <f>J8+J15+J17-J20-D8</f>
        <v>68933.005499999999</v>
      </c>
      <c r="E35" s="195">
        <f>K8+K15+K17-K20-E8</f>
        <v>77005.105410000018</v>
      </c>
      <c r="F35" s="195">
        <f>L8+L15+L17-L20-F8</f>
        <v>147861.16100000002</v>
      </c>
      <c r="G35" s="195">
        <f>M8+M15+M17-M20-G8</f>
        <v>183320.37299999993</v>
      </c>
      <c r="H35" s="195">
        <f>N8+N15+N17-N20-H8</f>
        <v>48233.739000000001</v>
      </c>
      <c r="I35" s="160" t="s">
        <v>159</v>
      </c>
      <c r="J35" s="1276">
        <f>Saisie!E116</f>
        <v>0</v>
      </c>
      <c r="K35" s="1276">
        <f>Saisie!F116</f>
        <v>0</v>
      </c>
      <c r="L35" s="1276">
        <f>Saisie!G116</f>
        <v>16633.221000000001</v>
      </c>
      <c r="M35" s="1276">
        <f>Saisie!H116</f>
        <v>12000</v>
      </c>
      <c r="N35" s="1254">
        <f>Saisie!I116</f>
        <v>12000</v>
      </c>
    </row>
    <row r="36" spans="1:20" ht="13.5" customHeight="1" x14ac:dyDescent="0.15">
      <c r="A36" s="142" t="s">
        <v>160</v>
      </c>
      <c r="B36" s="149"/>
      <c r="C36" s="149"/>
      <c r="D36" s="185">
        <f>-1*(J25+J26+J27-J28-D23-D25-D26+Saisie!E56)</f>
        <v>75330.237500000017</v>
      </c>
      <c r="E36" s="1327">
        <f>-1*(K25+K26+K27-K28-E23-E25-E26+Saisie!F56)</f>
        <v>139481.70567999996</v>
      </c>
      <c r="F36" s="1327">
        <f>-1*(L25+L26+L27-L28-F23-F25-F26+Saisie!G56)</f>
        <v>293017.16100000002</v>
      </c>
      <c r="G36" s="1327">
        <f>-1*(M25+M26+M27-M28-G23-G25-G26+Saisie!H56)</f>
        <v>531193.91300000006</v>
      </c>
      <c r="H36" s="1327">
        <f>-1*(N25+N26+N27-N28-H23-H25-H26+Saisie!I56)</f>
        <v>19510.066000000003</v>
      </c>
      <c r="I36" s="160" t="s">
        <v>161</v>
      </c>
      <c r="J36" s="1276">
        <f>Saisie!E117</f>
        <v>0</v>
      </c>
      <c r="K36" s="1276">
        <f>Saisie!F117</f>
        <v>0</v>
      </c>
      <c r="L36" s="1276">
        <f>Saisie!G117</f>
        <v>0</v>
      </c>
      <c r="M36" s="1276">
        <f>Saisie!H117</f>
        <v>0</v>
      </c>
      <c r="N36" s="1254">
        <f>Saisie!I117</f>
        <v>0</v>
      </c>
    </row>
    <row r="37" spans="1:20" ht="13.5" customHeight="1" x14ac:dyDescent="0.15">
      <c r="A37" s="1237" t="s">
        <v>103</v>
      </c>
      <c r="B37" s="128"/>
      <c r="C37" s="128"/>
      <c r="D37" s="187">
        <f>IF(D41=0,"n/d ",(D36/D41)*360*D6)</f>
        <v>195.46226866752914</v>
      </c>
      <c r="E37" s="1328">
        <f>IF(E41=0,"n/d ",(E36/E41)*360*E6)</f>
        <v>70.129975242191932</v>
      </c>
      <c r="F37" s="1328">
        <f>IF(F41=0,"n/d ",(F36/F41)*360*F6)</f>
        <v>125.75104666942404</v>
      </c>
      <c r="G37" s="1328">
        <f>IF(G41=0,"n/d ",(G36/G41)*360*G6)</f>
        <v>118.32029131463703</v>
      </c>
      <c r="H37" s="1328">
        <f>IF(H41=0,"n/d ",(H36/H41)*360*H6)</f>
        <v>472.20161361790133</v>
      </c>
      <c r="I37" s="158"/>
      <c r="J37" s="1258"/>
      <c r="K37" s="1258"/>
      <c r="L37" s="1258"/>
      <c r="M37" s="1258"/>
      <c r="N37" s="1259"/>
    </row>
    <row r="38" spans="1:20" ht="13.5" customHeight="1" thickBot="1" x14ac:dyDescent="0.2">
      <c r="A38" s="1238" t="s">
        <v>86</v>
      </c>
      <c r="B38" s="189"/>
      <c r="C38" s="189"/>
      <c r="D38" s="1239">
        <f>D35-D36</f>
        <v>-6397.2320000000182</v>
      </c>
      <c r="E38" s="1329">
        <f>E35-E36</f>
        <v>-62476.600269999937</v>
      </c>
      <c r="F38" s="1329">
        <f>F35-F36</f>
        <v>-145156</v>
      </c>
      <c r="G38" s="1329">
        <f>G35-G36</f>
        <v>-347873.54000000015</v>
      </c>
      <c r="H38" s="1329">
        <f>H35-H36</f>
        <v>28723.672999999999</v>
      </c>
      <c r="I38" s="188"/>
      <c r="J38" s="1277"/>
      <c r="K38" s="1277"/>
      <c r="L38" s="1277"/>
      <c r="M38" s="1277"/>
      <c r="N38" s="1278"/>
    </row>
    <row r="39" spans="1:20" ht="17.25" customHeight="1" thickTop="1" thickBot="1" x14ac:dyDescent="0.2">
      <c r="A39" s="1505" t="s">
        <v>162</v>
      </c>
      <c r="B39" s="1506"/>
      <c r="C39" s="1506"/>
      <c r="D39" s="1502">
        <f>D5</f>
        <v>39417</v>
      </c>
      <c r="E39" s="1502">
        <f>E5</f>
        <v>39783</v>
      </c>
      <c r="F39" s="1502">
        <f>F5</f>
        <v>40178</v>
      </c>
      <c r="G39" s="1502">
        <f>G5</f>
        <v>40543</v>
      </c>
      <c r="H39" s="1502">
        <f>H5</f>
        <v>46022</v>
      </c>
      <c r="I39" s="1507" t="s">
        <v>163</v>
      </c>
      <c r="J39" s="1502">
        <f>D5</f>
        <v>39417</v>
      </c>
      <c r="K39" s="1502">
        <f>E5</f>
        <v>39783</v>
      </c>
      <c r="L39" s="1502">
        <f>F5</f>
        <v>40178</v>
      </c>
      <c r="M39" s="1502">
        <f>G5</f>
        <v>40543</v>
      </c>
      <c r="N39" s="1504">
        <f>H5</f>
        <v>46022</v>
      </c>
      <c r="O39" s="1423"/>
      <c r="R39" s="190"/>
      <c r="S39" s="190"/>
      <c r="T39" s="190"/>
    </row>
    <row r="40" spans="1:20" ht="13.5" customHeight="1" thickTop="1" x14ac:dyDescent="0.15">
      <c r="A40" s="191"/>
      <c r="B40" s="192"/>
      <c r="C40" s="192"/>
      <c r="D40" s="193"/>
      <c r="E40" s="193"/>
      <c r="F40" s="193"/>
      <c r="G40" s="193"/>
      <c r="H40" s="194"/>
      <c r="I40" s="142"/>
      <c r="J40" s="195"/>
      <c r="K40" s="195"/>
      <c r="L40" s="195"/>
      <c r="M40" s="195"/>
      <c r="N40" s="196"/>
      <c r="O40" s="1424"/>
      <c r="Q40" s="197"/>
      <c r="R40" s="198"/>
      <c r="S40" s="198"/>
      <c r="T40" s="198"/>
    </row>
    <row r="41" spans="1:20" ht="13.5" customHeight="1" x14ac:dyDescent="0.15">
      <c r="A41" s="151" t="s">
        <v>164</v>
      </c>
      <c r="B41" s="152"/>
      <c r="C41" s="174">
        <f>Saisie!D120</f>
        <v>0</v>
      </c>
      <c r="D41" s="174">
        <f>Saisie!E120</f>
        <v>416226.91200000001</v>
      </c>
      <c r="E41" s="1264">
        <f>Saisie!F120</f>
        <v>717966.67356999998</v>
      </c>
      <c r="F41" s="1264">
        <f>Saisie!G120</f>
        <v>907795.82200000004</v>
      </c>
      <c r="G41" s="1264">
        <f>Saisie!H120</f>
        <v>1616204.6810000001</v>
      </c>
      <c r="H41" s="1264">
        <f>Saisie!I120</f>
        <v>223276.08499999999</v>
      </c>
      <c r="I41" s="151" t="s">
        <v>165</v>
      </c>
      <c r="J41" s="1251">
        <f>D56</f>
        <v>29838.883999999991</v>
      </c>
      <c r="K41" s="1251">
        <f>E56</f>
        <v>45113.274649999963</v>
      </c>
      <c r="L41" s="1251">
        <f>F56</f>
        <v>85384.745000000112</v>
      </c>
      <c r="M41" s="1251">
        <f>G56</f>
        <v>114043.95300000007</v>
      </c>
      <c r="N41" s="1252">
        <f>H56</f>
        <v>25481.919000000024</v>
      </c>
      <c r="Q41" s="197"/>
      <c r="R41" s="198"/>
      <c r="S41" s="198"/>
      <c r="T41" s="198"/>
    </row>
    <row r="42" spans="1:20" ht="13.5" customHeight="1" x14ac:dyDescent="0.15">
      <c r="A42" s="142"/>
      <c r="B42" s="149"/>
      <c r="C42" s="149"/>
      <c r="D42" s="181"/>
      <c r="E42" s="1325"/>
      <c r="F42" s="1325"/>
      <c r="G42" s="1325"/>
      <c r="H42" s="1325"/>
      <c r="I42" s="170"/>
      <c r="J42" s="200"/>
      <c r="K42" s="1258"/>
      <c r="L42" s="1258"/>
      <c r="M42" s="1258"/>
      <c r="N42" s="1279"/>
      <c r="Q42" s="197"/>
      <c r="R42" s="198"/>
      <c r="S42" s="198"/>
      <c r="T42" s="198"/>
    </row>
    <row r="43" spans="1:20" ht="13.5" customHeight="1" x14ac:dyDescent="0.15">
      <c r="A43" s="158" t="s">
        <v>166</v>
      </c>
      <c r="B43" s="128"/>
      <c r="C43" s="128"/>
      <c r="D43" s="164">
        <f>Saisie!E122+Saisie!E123</f>
        <v>0</v>
      </c>
      <c r="E43" s="1257">
        <f>Saisie!F122+Saisie!F123</f>
        <v>0</v>
      </c>
      <c r="F43" s="1257">
        <f>Saisie!G122+Saisie!G123</f>
        <v>17182.754000000001</v>
      </c>
      <c r="G43" s="1257">
        <f>Saisie!H122+Saisie!H123</f>
        <v>231.15</v>
      </c>
      <c r="H43" s="1257">
        <f>Saisie!I122+Saisie!I123</f>
        <v>0</v>
      </c>
      <c r="I43" s="1155" t="s">
        <v>168</v>
      </c>
      <c r="J43" s="1280">
        <f>D63-D65+(1/3*D64)</f>
        <v>5350.7579999999998</v>
      </c>
      <c r="K43" s="1280">
        <f>E63-E65+(1/3*E64)</f>
        <v>7135.5244300000004</v>
      </c>
      <c r="L43" s="1280">
        <f>F63-F65+(1/3*F64)</f>
        <v>23322.944333333333</v>
      </c>
      <c r="M43" s="1280">
        <f>G63-G65+(1/3*G64)</f>
        <v>53131.535000000003</v>
      </c>
      <c r="N43" s="1281">
        <f>H63-H65+(1/3*H64)</f>
        <v>-1826.24</v>
      </c>
      <c r="Q43" s="197"/>
      <c r="R43" s="198"/>
      <c r="S43" s="198"/>
      <c r="T43" s="198"/>
    </row>
    <row r="44" spans="1:20" ht="13.5" customHeight="1" x14ac:dyDescent="0.15">
      <c r="A44" s="158" t="s">
        <v>167</v>
      </c>
      <c r="B44" s="128"/>
      <c r="C44" s="128"/>
      <c r="D44" s="186">
        <f>Saisie!E124</f>
        <v>0</v>
      </c>
      <c r="E44" s="1276">
        <f>Saisie!F124</f>
        <v>0</v>
      </c>
      <c r="F44" s="1276">
        <f>Saisie!G124</f>
        <v>2281.665</v>
      </c>
      <c r="G44" s="1276">
        <f>Saisie!H124</f>
        <v>621.11800000000005</v>
      </c>
      <c r="H44" s="1276">
        <f>Saisie!I124</f>
        <v>108.803</v>
      </c>
      <c r="I44" s="1155" t="s">
        <v>169</v>
      </c>
      <c r="J44" s="1280">
        <f>D71</f>
        <v>3000.1525000000001</v>
      </c>
      <c r="K44" s="1280">
        <f>E71</f>
        <v>6127.6695499999996</v>
      </c>
      <c r="L44" s="1280">
        <f>F71</f>
        <v>6938.5937011200003</v>
      </c>
      <c r="M44" s="1280">
        <f>G71</f>
        <v>6990.3630000000003</v>
      </c>
      <c r="N44" s="1281">
        <f>H71</f>
        <v>3580.982</v>
      </c>
      <c r="O44" s="1426" t="s">
        <v>133</v>
      </c>
      <c r="Q44" s="197"/>
      <c r="R44" s="198"/>
      <c r="S44" s="198"/>
      <c r="T44" s="198"/>
    </row>
    <row r="45" spans="1:20" ht="13.5" customHeight="1" x14ac:dyDescent="0.15">
      <c r="A45" s="158"/>
      <c r="B45" s="128"/>
      <c r="C45" s="128"/>
      <c r="D45" s="169"/>
      <c r="E45" s="1258"/>
      <c r="F45" s="1258"/>
      <c r="G45" s="1258"/>
      <c r="H45" s="1258"/>
      <c r="I45" s="1155"/>
      <c r="J45" s="1280"/>
      <c r="K45" s="1280"/>
      <c r="L45" s="1280"/>
      <c r="M45" s="1280"/>
      <c r="N45" s="1281"/>
      <c r="O45" s="1426" t="s">
        <v>133</v>
      </c>
      <c r="Q45" s="197"/>
      <c r="R45" s="198"/>
      <c r="S45" s="198"/>
      <c r="T45" s="198"/>
    </row>
    <row r="46" spans="1:20" ht="13.5" customHeight="1" x14ac:dyDescent="0.15">
      <c r="A46" s="151" t="s">
        <v>842</v>
      </c>
      <c r="B46" s="152"/>
      <c r="C46" s="152"/>
      <c r="D46" s="155">
        <f>D41+D43+D44</f>
        <v>416226.91200000001</v>
      </c>
      <c r="E46" s="1251">
        <f>E41+E43+E44</f>
        <v>717966.67356999998</v>
      </c>
      <c r="F46" s="1251">
        <f>F41+F43+F44</f>
        <v>927260.24100000004</v>
      </c>
      <c r="G46" s="1251">
        <f>G41+G43+G44</f>
        <v>1617056.949</v>
      </c>
      <c r="H46" s="1251">
        <f>H41+H43+H44</f>
        <v>223384.88800000001</v>
      </c>
      <c r="I46" s="151" t="s">
        <v>172</v>
      </c>
      <c r="J46" s="1251">
        <f>J41-J43-J44</f>
        <v>21487.973499999989</v>
      </c>
      <c r="K46" s="1251">
        <f>K41-K43-K44</f>
        <v>31850.080669999967</v>
      </c>
      <c r="L46" s="1251">
        <f>L41-L43-L44</f>
        <v>55123.206965546779</v>
      </c>
      <c r="M46" s="1251">
        <f>M41-M43-M44</f>
        <v>53922.055000000066</v>
      </c>
      <c r="N46" s="1252">
        <f>N41-N43-N44</f>
        <v>23727.177000000025</v>
      </c>
      <c r="Q46" s="197"/>
      <c r="R46" s="198"/>
      <c r="S46" s="198"/>
      <c r="T46" s="198"/>
    </row>
    <row r="47" spans="1:20" ht="13.5" customHeight="1" x14ac:dyDescent="0.15">
      <c r="A47" s="158"/>
      <c r="B47" s="128"/>
      <c r="C47" s="128"/>
      <c r="D47" s="169"/>
      <c r="E47" s="1258"/>
      <c r="F47" s="1258"/>
      <c r="G47" s="1258"/>
      <c r="H47" s="1258"/>
      <c r="I47" s="170"/>
      <c r="J47" s="1282"/>
      <c r="K47" s="1282"/>
      <c r="L47" s="1282"/>
      <c r="M47" s="1282"/>
      <c r="N47" s="1279"/>
      <c r="Q47" s="197"/>
      <c r="R47" s="198"/>
      <c r="S47" s="198"/>
      <c r="T47" s="198"/>
    </row>
    <row r="48" spans="1:20" ht="13.5" customHeight="1" x14ac:dyDescent="0.15">
      <c r="A48" s="158" t="s">
        <v>171</v>
      </c>
      <c r="B48" s="128"/>
      <c r="C48" s="128"/>
      <c r="D48" s="186">
        <f>Saisie!E126</f>
        <v>365232.28600000002</v>
      </c>
      <c r="E48" s="1276">
        <f>Saisie!F126</f>
        <v>639351.22713000001</v>
      </c>
      <c r="F48" s="1276">
        <f>Saisie!G126</f>
        <v>765768.85899999994</v>
      </c>
      <c r="G48" s="1276">
        <f>Saisie!H126</f>
        <v>1379090.4569999999</v>
      </c>
      <c r="H48" s="1276">
        <f>Saisie!I126</f>
        <v>153580.20499999999</v>
      </c>
      <c r="I48" s="1206" t="s">
        <v>174</v>
      </c>
      <c r="J48" s="1207">
        <f>J49+J50-J51+J52</f>
        <v>77529.419500000018</v>
      </c>
      <c r="K48" s="1207">
        <f>K49+K50-K51+K52</f>
        <v>64151.467739999964</v>
      </c>
      <c r="L48" s="1207">
        <f>L49+L50-L51+L52</f>
        <v>153535.45476000002</v>
      </c>
      <c r="M48" s="1207">
        <f>M49+M50-M51+M52</f>
        <v>238176.75199999995</v>
      </c>
      <c r="N48" s="1208">
        <f>N49+N50-N51+N52</f>
        <v>-511683.84699999989</v>
      </c>
      <c r="Q48" s="197"/>
      <c r="R48" s="198"/>
      <c r="S48" s="198"/>
      <c r="T48" s="198"/>
    </row>
    <row r="49" spans="1:20" ht="13.5" customHeight="1" x14ac:dyDescent="0.15">
      <c r="A49" s="158" t="s">
        <v>173</v>
      </c>
      <c r="B49" s="128"/>
      <c r="C49" s="128"/>
      <c r="D49" s="164">
        <f>Saisie!E130</f>
        <v>0</v>
      </c>
      <c r="E49" s="1257">
        <f>Saisie!F130</f>
        <v>0</v>
      </c>
      <c r="F49" s="1257">
        <f>Saisie!G130</f>
        <v>0</v>
      </c>
      <c r="G49" s="1257">
        <f>Saisie!H130</f>
        <v>0</v>
      </c>
      <c r="H49" s="1257">
        <f>Saisie!I130</f>
        <v>0</v>
      </c>
      <c r="I49" s="1177" t="s">
        <v>176</v>
      </c>
      <c r="J49" s="1280">
        <f>IF(Saisie!E120=0,"0,0",SUM(Saisie!E38:'Saisie'!E41)-SUM(Saisie!D38:'Saisie'!D41))</f>
        <v>108697.292</v>
      </c>
      <c r="K49" s="1280">
        <f>IF(Saisie!F120=0,"0,0",SUM(Saisie!F38:'Saisie'!F41)-SUM(Saisie!E38:'Saisie'!E41))</f>
        <v>154012.02985999995</v>
      </c>
      <c r="L49" s="1280">
        <f>IF(Saisie!G120=0,"0,0",SUM(Saisie!G38:'Saisie'!G41)-SUM(Saisie!F38:'Saisie'!F41))</f>
        <v>213034.48414000002</v>
      </c>
      <c r="M49" s="1280">
        <f>IF(Saisie!H120=0,"0,0",SUM(Saisie!H38:'Saisie'!H41)-SUM(Saisie!G38:'Saisie'!G41))</f>
        <v>-31121.869000000006</v>
      </c>
      <c r="N49" s="1281">
        <f>IF(Saisie!I120=0,"0,0",SUM(Saisie!I38:'Saisie'!I41)-SUM(Saisie!H38:'Saisie'!H41))</f>
        <v>-424663.49699999997</v>
      </c>
      <c r="Q49" s="199"/>
      <c r="R49" s="198"/>
      <c r="S49" s="198"/>
      <c r="T49" s="198"/>
    </row>
    <row r="50" spans="1:20" ht="13.5" customHeight="1" x14ac:dyDescent="0.15">
      <c r="A50" s="158"/>
      <c r="B50" s="128"/>
      <c r="C50" s="128"/>
      <c r="D50" s="169"/>
      <c r="E50" s="1258"/>
      <c r="F50" s="1258"/>
      <c r="G50" s="1258"/>
      <c r="H50" s="1325"/>
      <c r="I50" s="1177" t="s">
        <v>177</v>
      </c>
      <c r="J50" s="1280">
        <f>IF(Saisie!E120=0,"0,0",Saisie!E47+Saisie!E115-Saisie!D47-Saisie!D115)</f>
        <v>109918.14</v>
      </c>
      <c r="K50" s="1280">
        <f>IF(Saisie!F120=0,"0,0",Saisie!F47+Saisie!F115-Saisie!E47-Saisie!E115)</f>
        <v>-50323.408709999996</v>
      </c>
      <c r="L50" s="1280">
        <f>IF(Saisie!G120=0,"0,0",Saisie!G47+Saisie!G115-Saisie!F47-Saisie!F115)</f>
        <v>60191.985710000001</v>
      </c>
      <c r="M50" s="1280">
        <f>IF(Saisie!H120=0,"0,0",Saisie!H47+Saisie!H115-Saisie!G47-Saisie!G115)</f>
        <v>266121.62</v>
      </c>
      <c r="N50" s="1281">
        <f>IF(Saisie!I120=0,"0,0",Saisie!I47+Saisie!I115-Saisie!H47-Saisie!H115)</f>
        <v>-382412.71399999998</v>
      </c>
      <c r="Q50" s="197"/>
      <c r="R50" s="198"/>
      <c r="S50" s="198"/>
      <c r="T50" s="198"/>
    </row>
    <row r="51" spans="1:20" ht="13.5" customHeight="1" x14ac:dyDescent="0.15">
      <c r="A51" s="151" t="s">
        <v>175</v>
      </c>
      <c r="B51" s="152"/>
      <c r="C51" s="152"/>
      <c r="D51" s="155">
        <f>D46-D48+D49</f>
        <v>50994.625999999989</v>
      </c>
      <c r="E51" s="1251">
        <f>E46-E48+E49</f>
        <v>78615.446439999971</v>
      </c>
      <c r="F51" s="1251">
        <f>F46-F48+F49</f>
        <v>161491.3820000001</v>
      </c>
      <c r="G51" s="1251">
        <f>G46-G48+G49</f>
        <v>237966.49200000009</v>
      </c>
      <c r="H51" s="1330">
        <f>H46-H48+H49</f>
        <v>69804.683000000019</v>
      </c>
      <c r="I51" s="1177" t="s">
        <v>178</v>
      </c>
      <c r="J51" s="1280">
        <f>IF(Saisie!E120=0,"0,0",J26-Saisie!D100)</f>
        <v>68995.585999999996</v>
      </c>
      <c r="K51" s="1280">
        <f>IF(Saisie!F120=0,"0,0",K26-Saisie!E100)</f>
        <v>136989.13402</v>
      </c>
      <c r="L51" s="1280">
        <f>IF(Saisie!G120=0,"0,0",L26-Saisie!F100)</f>
        <v>-75891.518020000003</v>
      </c>
      <c r="M51" s="1280">
        <f>IF(Saisie!H120=0,"0,0",M26-Saisie!G100)</f>
        <v>201339.30200000003</v>
      </c>
      <c r="N51" s="1281">
        <f>IF(Saisie!I120=0,"0,0",N26-Saisie!H100)</f>
        <v>-321565.31</v>
      </c>
      <c r="Q51" s="197"/>
      <c r="R51" s="200"/>
      <c r="S51" s="200"/>
      <c r="T51" s="200"/>
    </row>
    <row r="52" spans="1:20" ht="13.5" customHeight="1" x14ac:dyDescent="0.15">
      <c r="A52" s="142"/>
      <c r="B52" s="149"/>
      <c r="C52" s="149"/>
      <c r="D52" s="157"/>
      <c r="E52" s="195"/>
      <c r="F52" s="195"/>
      <c r="G52" s="195"/>
      <c r="H52" s="196"/>
      <c r="I52" s="1155" t="s">
        <v>179</v>
      </c>
      <c r="J52" s="1283">
        <f>IF(Saisie!E120=0,"0,0",((Saisie!E49+Saisie!E52-Saisie!E56)-(Saisie!D49+Saisie!D52-Saisie!D56))-((J25+J27-J28)-(Saisie!D98+Saisie!D102-Saisie!D105-Saisie!D106-Saisie!D110-Saisie!D111)))</f>
        <v>-72090.426500000001</v>
      </c>
      <c r="K52" s="1283">
        <f>IF(Saisie!F120=0,"0,0",((Saisie!F49+Saisie!F52-Saisie!F56)-(Saisie!E49+Saisie!E52-Saisie!E56))-((K25+K27-K28)-(Saisie!E98+Saisie!E102-Saisie!E105-Saisie!E106-Saisie!E110-Saisie!E111)))</f>
        <v>97451.980609999999</v>
      </c>
      <c r="L52" s="1283">
        <f>IF(Saisie!G120=0,"0,0",((Saisie!G49+Saisie!G52-Saisie!G56)-(Saisie!F49+Saisie!F52-Saisie!F56))-((L25+L27-L28)-(Saisie!F98+Saisie!F102-Saisie!F105-Saisie!F106-Saisie!F110-Saisie!F111)))</f>
        <v>-195582.53310999999</v>
      </c>
      <c r="M52" s="1283">
        <f>IF(Saisie!H120=0,"0,0",((Saisie!H49+Saisie!H52-Saisie!H56)-(Saisie!G49+Saisie!G52-Saisie!G56))-((M25+M27-M28)-(Saisie!G98+Saisie!G102-Saisie!G105-Saisie!G106-Saisie!G110-Saisie!G111)))</f>
        <v>204516.30299999999</v>
      </c>
      <c r="N52" s="1281">
        <f>IF(Saisie!I120=0,"0,0",((Saisie!I49+Saisie!I52-Saisie!I56)-(Saisie!H49+Saisie!H52-Saisie!H56))-((N25+N27-N28)-(Saisie!H98+Saisie!H102-Saisie!H105-Saisie!H106-Saisie!H110-Saisie!H111)))</f>
        <v>-26172.945999999989</v>
      </c>
    </row>
    <row r="53" spans="1:20" ht="13.5" customHeight="1" x14ac:dyDescent="0.15">
      <c r="A53" s="158" t="s">
        <v>849</v>
      </c>
      <c r="B53" s="128"/>
      <c r="C53" s="128"/>
      <c r="D53" s="186">
        <f>Saisie!E134</f>
        <v>6520.2150000000001</v>
      </c>
      <c r="E53" s="1276">
        <f>Saisie!F134</f>
        <v>12668.579540000001</v>
      </c>
      <c r="F53" s="1276">
        <f>Saisie!G134</f>
        <v>32841.582000000002</v>
      </c>
      <c r="G53" s="1276">
        <f>Saisie!H134</f>
        <v>54011.955000000002</v>
      </c>
      <c r="H53" s="1254">
        <f>Saisie!I134</f>
        <v>21966.003000000001</v>
      </c>
      <c r="I53" s="1176"/>
      <c r="J53" s="1283"/>
      <c r="K53" s="1283"/>
      <c r="L53" s="1283"/>
      <c r="M53" s="1283"/>
      <c r="N53" s="1284"/>
    </row>
    <row r="54" spans="1:20" ht="13.5" customHeight="1" x14ac:dyDescent="0.15">
      <c r="A54" s="158" t="s">
        <v>854</v>
      </c>
      <c r="B54" s="128"/>
      <c r="C54" s="128"/>
      <c r="D54" s="186">
        <f>Saisie!E140</f>
        <v>14635.527</v>
      </c>
      <c r="E54" s="1276">
        <f>Saisie!F140</f>
        <v>20833.592250000002</v>
      </c>
      <c r="F54" s="1276">
        <f>Saisie!G140</f>
        <v>43265.055</v>
      </c>
      <c r="G54" s="1276">
        <f>Saisie!H140</f>
        <v>69910.584000000003</v>
      </c>
      <c r="H54" s="1276">
        <f>Saisie!I140</f>
        <v>22356.760999999999</v>
      </c>
      <c r="I54" s="151" t="s">
        <v>642</v>
      </c>
      <c r="J54" s="1251">
        <f>J46-J48</f>
        <v>-56041.446000000025</v>
      </c>
      <c r="K54" s="1251">
        <f>K46-K48</f>
        <v>-32301.387069999997</v>
      </c>
      <c r="L54" s="1251">
        <f>L46-L48</f>
        <v>-98412.247794453244</v>
      </c>
      <c r="M54" s="1251">
        <f>M46-M48</f>
        <v>-184254.69699999987</v>
      </c>
      <c r="N54" s="1252">
        <f>N46-N48</f>
        <v>535411.02399999998</v>
      </c>
    </row>
    <row r="55" spans="1:20" ht="13.5" customHeight="1" x14ac:dyDescent="0.15">
      <c r="A55" s="158"/>
      <c r="B55" s="128"/>
      <c r="C55" s="128"/>
      <c r="D55" s="169"/>
      <c r="E55" s="1258"/>
      <c r="F55" s="1258"/>
      <c r="G55" s="1258"/>
      <c r="H55" s="1259"/>
      <c r="I55" s="1178"/>
      <c r="J55" s="1285"/>
      <c r="K55" s="1282"/>
      <c r="L55" s="1282"/>
      <c r="M55" s="1282"/>
      <c r="N55" s="1279"/>
    </row>
    <row r="56" spans="1:20" ht="13.5" customHeight="1" x14ac:dyDescent="0.15">
      <c r="A56" s="151" t="s">
        <v>180</v>
      </c>
      <c r="B56" s="152"/>
      <c r="C56" s="152"/>
      <c r="D56" s="155">
        <f>D51-D53-D54</f>
        <v>29838.883999999991</v>
      </c>
      <c r="E56" s="1251">
        <f>E51-E53-E54</f>
        <v>45113.274649999963</v>
      </c>
      <c r="F56" s="1251">
        <f>F51-F53-F54</f>
        <v>85384.745000000112</v>
      </c>
      <c r="G56" s="1251">
        <f>G51-G53-G54</f>
        <v>114043.95300000007</v>
      </c>
      <c r="H56" s="1251">
        <f>H51-H53-H54</f>
        <v>25481.919000000024</v>
      </c>
      <c r="I56" s="1177" t="s">
        <v>206</v>
      </c>
      <c r="J56" s="1280">
        <f>IF( Saisie!E120=0,"0,0",D14-C14+D58+Saisie!E186)</f>
        <v>75497.751999999993</v>
      </c>
      <c r="K56" s="1280">
        <f>IF( Saisie!F120=0,"0,0",E14-D14+E58+Saisie!F186)</f>
        <v>61434.208020000005</v>
      </c>
      <c r="L56" s="1280">
        <f>IF( Saisie!G120=0,"0,0",F14-E14+F58+Saisie!G186)</f>
        <v>12147.063979999988</v>
      </c>
      <c r="M56" s="1280">
        <f>IF( Saisie!H120=0,"0,0",G14-F14+G58+Saisie!H186)</f>
        <v>26556.550000000057</v>
      </c>
      <c r="N56" s="1281">
        <f>IF( Saisie!I120=0,"0,0",H14-G14+H58+Saisie!I186)</f>
        <v>-39271.946000000047</v>
      </c>
    </row>
    <row r="57" spans="1:20" ht="13.5" customHeight="1" x14ac:dyDescent="0.15">
      <c r="A57" s="201"/>
      <c r="B57" s="202"/>
      <c r="C57" s="202"/>
      <c r="D57" s="203"/>
      <c r="E57" s="1331"/>
      <c r="F57" s="1331"/>
      <c r="G57" s="1331"/>
      <c r="H57" s="1332"/>
      <c r="I57" s="1177" t="s">
        <v>513</v>
      </c>
      <c r="J57" s="1283">
        <f>Saisie!E191</f>
        <v>0</v>
      </c>
      <c r="K57" s="1283">
        <f>Saisie!F191</f>
        <v>0</v>
      </c>
      <c r="L57" s="1283">
        <f>Saisie!G191</f>
        <v>0</v>
      </c>
      <c r="M57" s="1283">
        <f>Saisie!H191</f>
        <v>0</v>
      </c>
      <c r="N57" s="1284">
        <f>Saisie!I191</f>
        <v>0</v>
      </c>
    </row>
    <row r="58" spans="1:20" ht="13.5" customHeight="1" x14ac:dyDescent="0.15">
      <c r="A58" s="158" t="s">
        <v>302</v>
      </c>
      <c r="B58" s="128"/>
      <c r="C58" s="128"/>
      <c r="D58" s="164">
        <f>Saisie!E149</f>
        <v>11388.356</v>
      </c>
      <c r="E58" s="1257">
        <f>Saisie!F149</f>
        <v>19363.477999999999</v>
      </c>
      <c r="F58" s="1257">
        <f>Saisie!G149</f>
        <v>20879.096000000001</v>
      </c>
      <c r="G58" s="1257">
        <f>Saisie!H149</f>
        <v>28354.569</v>
      </c>
      <c r="H58" s="1257">
        <f>Saisie!I149</f>
        <v>6668.2629999999999</v>
      </c>
      <c r="I58" s="1177" t="s">
        <v>186</v>
      </c>
      <c r="J58" s="1283">
        <f>2/3*D64</f>
        <v>0</v>
      </c>
      <c r="K58" s="1283">
        <f>2/3*E64</f>
        <v>0</v>
      </c>
      <c r="L58" s="1286">
        <f>2/3*F64</f>
        <v>1480.1046666666666</v>
      </c>
      <c r="M58" s="1286">
        <f>2/3*G64</f>
        <v>0</v>
      </c>
      <c r="N58" s="1281">
        <f>2/3*H64</f>
        <v>0</v>
      </c>
    </row>
    <row r="59" spans="1:20" ht="13.5" customHeight="1" x14ac:dyDescent="0.15">
      <c r="A59" s="158" t="s">
        <v>303</v>
      </c>
      <c r="B59" s="128"/>
      <c r="C59" s="128"/>
      <c r="D59" s="164">
        <f>Saisie!E151</f>
        <v>0</v>
      </c>
      <c r="E59" s="1257">
        <f>Saisie!F151</f>
        <v>0</v>
      </c>
      <c r="F59" s="1257">
        <f>Saisie!G151</f>
        <v>0</v>
      </c>
      <c r="G59" s="1257">
        <f>Saisie!H151</f>
        <v>-2199.181</v>
      </c>
      <c r="H59" s="1257">
        <f>Saisie!I151</f>
        <v>0</v>
      </c>
      <c r="I59" s="204"/>
      <c r="J59" s="1285"/>
      <c r="K59" s="1255"/>
      <c r="L59" s="1255"/>
      <c r="M59" s="1255"/>
      <c r="N59" s="1256"/>
      <c r="T59" s="222"/>
    </row>
    <row r="60" spans="1:20" ht="13.5" customHeight="1" x14ac:dyDescent="0.15">
      <c r="A60" s="158"/>
      <c r="B60" s="128"/>
      <c r="C60" s="128"/>
      <c r="D60" s="169"/>
      <c r="E60" s="1258"/>
      <c r="F60" s="1258"/>
      <c r="G60" s="1258"/>
      <c r="H60" s="1259"/>
      <c r="I60" s="204"/>
      <c r="J60" s="1285"/>
      <c r="K60" s="1255"/>
      <c r="L60" s="1255"/>
      <c r="M60" s="1255"/>
      <c r="N60" s="1256"/>
    </row>
    <row r="61" spans="1:20" ht="13.5" customHeight="1" x14ac:dyDescent="0.15">
      <c r="A61" s="151" t="s">
        <v>306</v>
      </c>
      <c r="B61" s="152"/>
      <c r="C61" s="152"/>
      <c r="D61" s="155">
        <f>D56-D58-D59</f>
        <v>18450.527999999991</v>
      </c>
      <c r="E61" s="1251">
        <f>E56-E58-E59</f>
        <v>25749.796649999964</v>
      </c>
      <c r="F61" s="1251">
        <f>F56-F58-F59</f>
        <v>64505.649000000107</v>
      </c>
      <c r="G61" s="1251">
        <f>G56-G58-G59</f>
        <v>87888.565000000061</v>
      </c>
      <c r="H61" s="1251">
        <f>H56-H58-H59</f>
        <v>18813.656000000025</v>
      </c>
      <c r="I61" s="170"/>
      <c r="J61" s="1282"/>
      <c r="K61" s="1282"/>
      <c r="L61" s="1282"/>
      <c r="M61" s="1282"/>
      <c r="N61" s="1279"/>
    </row>
    <row r="62" spans="1:20" ht="13.5" customHeight="1" x14ac:dyDescent="0.15">
      <c r="A62" s="158"/>
      <c r="B62" s="128"/>
      <c r="C62" s="128"/>
      <c r="D62" s="203"/>
      <c r="E62" s="1331"/>
      <c r="F62" s="1331"/>
      <c r="G62" s="1331"/>
      <c r="H62" s="1332"/>
      <c r="I62" s="151" t="s">
        <v>307</v>
      </c>
      <c r="J62" s="1287">
        <f>J54-J56-J57-J58</f>
        <v>-131539.19800000003</v>
      </c>
      <c r="K62" s="1251">
        <f>K54-K56-K57-K58</f>
        <v>-93735.595090000003</v>
      </c>
      <c r="L62" s="1251">
        <f>L54-L56-L57-L58</f>
        <v>-112039.4164411199</v>
      </c>
      <c r="M62" s="1251">
        <f>M54-M56-M57-M58</f>
        <v>-210811.24699999992</v>
      </c>
      <c r="N62" s="1252">
        <f>N54-N56-N57-N58</f>
        <v>574682.97</v>
      </c>
    </row>
    <row r="63" spans="1:20" ht="13.5" customHeight="1" x14ac:dyDescent="0.15">
      <c r="A63" s="158" t="s">
        <v>5</v>
      </c>
      <c r="B63" s="128"/>
      <c r="C63" s="128"/>
      <c r="D63" s="186">
        <f>Saisie!E156</f>
        <v>5350.7579999999998</v>
      </c>
      <c r="E63" s="1276">
        <f>Saisie!F156</f>
        <v>7135.5244300000004</v>
      </c>
      <c r="F63" s="1276">
        <f>Saisie!G156</f>
        <v>22582.892</v>
      </c>
      <c r="G63" s="1276">
        <f>Saisie!H156</f>
        <v>57969.357000000004</v>
      </c>
      <c r="H63" s="1276">
        <f>Saisie!I156</f>
        <v>930.33799999999997</v>
      </c>
      <c r="I63" s="204"/>
      <c r="J63" s="1285"/>
      <c r="K63" s="1282"/>
      <c r="L63" s="1282"/>
      <c r="M63" s="1282"/>
      <c r="N63" s="1279"/>
    </row>
    <row r="64" spans="1:20" ht="13.5" customHeight="1" x14ac:dyDescent="0.15">
      <c r="A64" s="158" t="s">
        <v>7</v>
      </c>
      <c r="B64" s="128"/>
      <c r="C64" s="128"/>
      <c r="D64" s="186">
        <f>Saisie!E158</f>
        <v>0</v>
      </c>
      <c r="E64" s="1276">
        <f>Saisie!F158</f>
        <v>0</v>
      </c>
      <c r="F64" s="1276">
        <f>Saisie!G158</f>
        <v>2220.1570000000002</v>
      </c>
      <c r="G64" s="1276">
        <f>Saisie!H158</f>
        <v>0</v>
      </c>
      <c r="H64" s="1276">
        <f>Saisie!I158</f>
        <v>0</v>
      </c>
      <c r="I64" s="204" t="s">
        <v>304</v>
      </c>
      <c r="J64" s="1280">
        <f>IF(Saisie!E120=0,"0,0",(Saisie!E21+Saisie!E22+Saisie!E23+Saisie!E24+Saisie!E25+Saisie!E26+Saisie!E36+Saisie!E34+Saisie!E35+Saisie!E18-Saisie!D21-Saisie!D22-Saisie!D23-Saisie!D24-Saisie!D25-Saisie!D26-Saisie!D34-Saisie!D35-Saisie!D18)+Saisie!E188+Saisie!E189)</f>
        <v>51512.928</v>
      </c>
      <c r="K64" s="1280">
        <f>IF(Saisie!F120=0,"0,0",(Saisie!F21+Saisie!F22+Saisie!F23+Saisie!F24+Saisie!F25+Saisie!F26+Saisie!F36+Saisie!F34+Saisie!F35+Saisie!F18-Saisie!E21-Saisie!E22-Saisie!E23-Saisie!E24-Saisie!E25-Saisie!E26-Saisie!E34-Saisie!E35-Saisie!E18)+Saisie!F188+Saisie!F189)</f>
        <v>-3.5000000207219273E-4</v>
      </c>
      <c r="L64" s="1280">
        <f>IF(Saisie!G120=0,"0,0",(Saisie!G21+Saisie!G22+Saisie!G23+Saisie!G24+Saisie!G25+Saisie!G26+Saisie!G36+Saisie!G34+Saisie!G35+Saisie!G18-Saisie!F21-Saisie!F22-Saisie!F23-Saisie!F24-Saisie!F25-Saisie!F26-Saisie!F34-Saisie!F35-Saisie!F18)+Saisie!G188+Saisie!G189)</f>
        <v>-47277.542649999996</v>
      </c>
      <c r="M64" s="1280" t="e">
        <f>IF(Saisie!H120=0,"0,0",(Saisie!H21+Saisie!H22+Saisie!H23+Saisie!H25+Saisie!#REF!+Saisie!H26+Saisie!H36+Saisie!H34+Saisie!H35+Saisie!H18-Saisie!G21-Saisie!G22-Saisie!G23-Saisie!G24-Saisie!G25-Saisie!G26-Saisie!G34-Saisie!G35-Saisie!G18)+Saisie!H188+Saisie!H189)</f>
        <v>#REF!</v>
      </c>
      <c r="N64" s="1280" t="e">
        <f>IF(Saisie!I120=0,"0,0",(Saisie!I21+Saisie!I22+Saisie!I23+Saisie!I25+Saisie!#REF!+Saisie!I26+Saisie!I36+Saisie!I34+Saisie!I35+Saisie!I18-Saisie!H21-Saisie!H22-Saisie!H23-Saisie!H24-Saisie!H25-Saisie!H26-Saisie!H34-Saisie!H35-Saisie!H18)+Saisie!I188+Saisie!I189)</f>
        <v>#REF!</v>
      </c>
    </row>
    <row r="65" spans="1:19" ht="13.5" customHeight="1" x14ac:dyDescent="0.15">
      <c r="A65" s="158" t="s">
        <v>10</v>
      </c>
      <c r="B65" s="128"/>
      <c r="C65" s="128"/>
      <c r="D65" s="186">
        <f>Saisie!E161</f>
        <v>0</v>
      </c>
      <c r="E65" s="1276">
        <f>Saisie!F161</f>
        <v>0</v>
      </c>
      <c r="F65" s="1276">
        <f>Saisie!G161</f>
        <v>0</v>
      </c>
      <c r="G65" s="1276">
        <f>Saisie!H161</f>
        <v>4837.8220000000001</v>
      </c>
      <c r="H65" s="1276">
        <f>Saisie!I161</f>
        <v>2756.578</v>
      </c>
      <c r="I65" s="204" t="s">
        <v>305</v>
      </c>
      <c r="J65" s="1283">
        <f>Saisie!E187</f>
        <v>0</v>
      </c>
      <c r="K65" s="1280">
        <f>Saisie!F187</f>
        <v>0</v>
      </c>
      <c r="L65" s="1280">
        <f>Saisie!G187</f>
        <v>0</v>
      </c>
      <c r="M65" s="1280">
        <f>Saisie!H187</f>
        <v>0</v>
      </c>
      <c r="N65" s="1281">
        <f>Saisie!I187</f>
        <v>0</v>
      </c>
    </row>
    <row r="66" spans="1:19" ht="13.5" customHeight="1" x14ac:dyDescent="0.15">
      <c r="A66" s="158"/>
      <c r="B66" s="128"/>
      <c r="C66" s="128"/>
      <c r="D66" s="169"/>
      <c r="E66" s="1258"/>
      <c r="F66" s="1258"/>
      <c r="G66" s="1258"/>
      <c r="H66" s="1259"/>
      <c r="I66" s="204" t="s">
        <v>308</v>
      </c>
      <c r="J66" s="1283">
        <f>IF(J17=0,"0,0",J17-(Saisie!D86+Saisie!D96)+Saisie!E191)</f>
        <v>98967.399000000005</v>
      </c>
      <c r="K66" s="1283">
        <f>IF(K17=0,"0,0",K17-(Saisie!E86+Saisie!E96)+Saisie!F191)</f>
        <v>30259.74437</v>
      </c>
      <c r="L66" s="1283">
        <f>IF(L17=0,"0,0",L17-(Saisie!F86+Saisie!F96)+Saisie!G191)</f>
        <v>-6496.7543700000097</v>
      </c>
      <c r="M66" s="1283">
        <f>M17-(Saisie!G86+Saisie!G96)+Saisie!H191</f>
        <v>1043.0059999999939</v>
      </c>
      <c r="N66" s="1281">
        <f>N17-(Saisie!H86+Saisie!H96)+Saisie!I191</f>
        <v>-123773.39499999999</v>
      </c>
    </row>
    <row r="67" spans="1:19" ht="13.5" customHeight="1" x14ac:dyDescent="0.15">
      <c r="A67" s="151" t="s">
        <v>14</v>
      </c>
      <c r="B67" s="152"/>
      <c r="C67" s="152"/>
      <c r="D67" s="155">
        <f>D61-D63-D64+D65</f>
        <v>13099.769999999991</v>
      </c>
      <c r="E67" s="1251">
        <f>E61-E63-E64+E65</f>
        <v>18614.272219999963</v>
      </c>
      <c r="F67" s="1251">
        <f>F61-F63-F64+F65</f>
        <v>39702.600000000108</v>
      </c>
      <c r="G67" s="1251">
        <f>G61-G63-G64+G65</f>
        <v>34757.030000000057</v>
      </c>
      <c r="H67" s="1251">
        <f>H61-H63-H64+H65</f>
        <v>20639.896000000026</v>
      </c>
      <c r="I67" s="204" t="s">
        <v>309</v>
      </c>
      <c r="J67" s="1283">
        <f>IF(J17=0,"0,0",(J29+J34)-(Saisie!D112+Saisie!D115))</f>
        <v>36801.173000000003</v>
      </c>
      <c r="K67" s="1283">
        <f>IF(K17=0,"0,0",(K29+K34)-(Saisie!E112+Saisie!E115))</f>
        <v>152095.38529999999</v>
      </c>
      <c r="L67" s="1283">
        <f>IF(L17=0,"0,0",(L29+L34)-(Saisie!F112+Saisie!F115))</f>
        <v>-21012.50529999999</v>
      </c>
      <c r="M67" s="1283">
        <f>IF(M29=0,"0,0",(M29+M34)-(Saisie!G112+Saisie!G115))</f>
        <v>284031.40599999996</v>
      </c>
      <c r="N67" s="1281">
        <f>IF(N29=0,"0,0",(N29+N34)-(Saisie!H112+Saisie!H115))</f>
        <v>-447816.89899999998</v>
      </c>
    </row>
    <row r="68" spans="1:19" ht="13.5" customHeight="1" x14ac:dyDescent="0.15">
      <c r="A68" s="201"/>
      <c r="B68" s="202"/>
      <c r="C68" s="202"/>
      <c r="D68" s="205"/>
      <c r="E68" s="1333"/>
      <c r="F68" s="1333"/>
      <c r="G68" s="1333"/>
      <c r="H68" s="1333"/>
      <c r="I68" s="204" t="s">
        <v>310</v>
      </c>
      <c r="J68" s="1283">
        <f>Saisie!D110-Saisie!E110+Saisie!E79</f>
        <v>0</v>
      </c>
      <c r="K68" s="1280">
        <f>Saisie!E110-Saisie!F110+Saisie!F79</f>
        <v>0</v>
      </c>
      <c r="L68" s="1280">
        <f>Saisie!F110-Saisie!G110+Saisie!G79</f>
        <v>0</v>
      </c>
      <c r="M68" s="1280">
        <f>Saisie!G110-Saisie!H110+Saisie!H79</f>
        <v>0</v>
      </c>
      <c r="N68" s="1281">
        <f>Saisie!H110-Saisie!I110+Saisie!I79</f>
        <v>0</v>
      </c>
    </row>
    <row r="69" spans="1:19" ht="13.5" customHeight="1" x14ac:dyDescent="0.15">
      <c r="A69" s="158" t="s">
        <v>311</v>
      </c>
      <c r="B69" s="128"/>
      <c r="C69" s="128"/>
      <c r="D69" s="161">
        <f>Saisie!E166</f>
        <v>-1099.1599999999999</v>
      </c>
      <c r="E69" s="1255">
        <f>Saisie!F166</f>
        <v>5896.4239799999996</v>
      </c>
      <c r="F69" s="1255">
        <f>Saisie!G166</f>
        <v>-11395.677999999998</v>
      </c>
      <c r="G69" s="1255">
        <f>Saisie!H166</f>
        <v>0</v>
      </c>
      <c r="H69" s="1255">
        <f>Saisie!I166</f>
        <v>0</v>
      </c>
      <c r="I69" s="160" t="s">
        <v>514</v>
      </c>
      <c r="J69" s="1280">
        <f>IF(J8=0,"0,0",J8-(Saisie!D67+Saisie!D71+Saisie!D77+Saisie!D80)-J12+Saisie!E189+Saisie!E190)</f>
        <v>76587.472999999998</v>
      </c>
      <c r="K69" s="1280">
        <f>IF(K8=0,"0,0",K8-(Saisie!E67+Saisie!E71+Saisie!E77+Saisie!E80)-K12+Saisie!F189+Saisie!F190)</f>
        <v>1500.076560000005</v>
      </c>
      <c r="L69" s="1280">
        <f>IF(L8=0,"0,0",L8-(Saisie!F67+Saisie!F71+Saisie!F77+Saisie!F80)-L12+Saisie!G189+Saisie!G190)</f>
        <v>-25.002710000004299</v>
      </c>
      <c r="M69" s="1280">
        <f>IF(M8=0,"0,0",M8-(Saisie!G67+Saisie!G71+Saisie!G77+Saisie!G80)-M12+Saisie!H189+Saisie!H190)</f>
        <v>2463.1409999999814</v>
      </c>
      <c r="N69" s="1281">
        <f>IF(N8=0,"0,0",N8-(Saisie!H67+Saisie!H71+Saisie!H77+Saisie!H80)-N12+Saisie!I189+Saisie!I190)</f>
        <v>-73402.777999999991</v>
      </c>
    </row>
    <row r="70" spans="1:19" ht="13.5" customHeight="1" x14ac:dyDescent="0.15">
      <c r="A70" s="158" t="s">
        <v>313</v>
      </c>
      <c r="B70" s="128"/>
      <c r="C70" s="128"/>
      <c r="D70" s="206"/>
      <c r="E70" s="1334"/>
      <c r="F70" s="1334"/>
      <c r="G70" s="1334"/>
      <c r="H70" s="1334"/>
      <c r="I70" s="160" t="s">
        <v>314</v>
      </c>
      <c r="J70" s="1280">
        <f>IF(Saisie!E120=0,"0,0",+Saisie!E218)</f>
        <v>1100.0219999999972</v>
      </c>
      <c r="K70" s="1280">
        <f>IF(Saisie!F120=0,"0,0",+Saisie!F218)</f>
        <v>5896.4235400000471</v>
      </c>
      <c r="L70" s="1280">
        <f>IF(Saisie!G120=0,"0,0",+Saisie!G218)</f>
        <v>-11395.678560000029</v>
      </c>
      <c r="M70" s="1280">
        <f>+Saisie!H218</f>
        <v>2776.9540000000002</v>
      </c>
      <c r="N70" s="1284">
        <f>+Saisie!I218</f>
        <v>3845.1690000000003</v>
      </c>
      <c r="P70" s="225" t="s">
        <v>315</v>
      </c>
      <c r="Q70" s="226"/>
      <c r="R70" s="226"/>
      <c r="S70" s="227"/>
    </row>
    <row r="71" spans="1:19" ht="13.5" customHeight="1" x14ac:dyDescent="0.15">
      <c r="A71" s="158" t="s">
        <v>316</v>
      </c>
      <c r="B71" s="128"/>
      <c r="C71" s="128"/>
      <c r="D71" s="164">
        <f>Saisie!E181</f>
        <v>3000.1525000000001</v>
      </c>
      <c r="E71" s="1257">
        <f>Saisie!F181</f>
        <v>6127.6695499999996</v>
      </c>
      <c r="F71" s="1257">
        <f>Saisie!G181</f>
        <v>6938.5937011200003</v>
      </c>
      <c r="G71" s="1257">
        <f>Saisie!H181</f>
        <v>6990.3630000000003</v>
      </c>
      <c r="H71" s="1257">
        <f>Saisie!I181</f>
        <v>3580.982</v>
      </c>
      <c r="I71" s="1155" t="s">
        <v>622</v>
      </c>
      <c r="J71" s="1280">
        <f>IF(OR(Saisie!E120=0,J70="A saisir ici"),"0,0",J73-J70-J69+J68-J67-J66-J65+J64-J62)</f>
        <v>5.8207660913467407E-11</v>
      </c>
      <c r="K71" s="1280">
        <f>IF(OR(Saisie!F120=0,K70="A saisir ici"),"0,0",K73-K70-K69+K68-K67-K66-K65+K64-K62)</f>
        <v>-1.5000000028521754E-2</v>
      </c>
      <c r="L71" s="1280">
        <f>IF(OR(Saisie!G120=0,L70="A saisir ici"),"0,0",L73-L70-L69+L68-L67-L66-L65+L64-L62)</f>
        <v>-9.2298880059388466E-2</v>
      </c>
      <c r="M71" s="1280" t="e">
        <f>+M73-M62+M64-M65-M67-M69-M70-M66</f>
        <v>#REF!</v>
      </c>
      <c r="N71" s="1342" t="e">
        <f>+N73-N62+N64-N65-N67-N69-N70-N66</f>
        <v>#REF!</v>
      </c>
      <c r="O71" s="1354"/>
      <c r="P71" s="228">
        <f>+J71/D41</f>
        <v>1.3984598120716281E-16</v>
      </c>
      <c r="Q71" s="228">
        <f>+K71/E41</f>
        <v>-2.089233467332978E-8</v>
      </c>
      <c r="R71" s="228">
        <f>+L71/F41</f>
        <v>-1.0167361186576211E-7</v>
      </c>
      <c r="S71" s="228" t="e">
        <f>+M71/G41</f>
        <v>#REF!</v>
      </c>
    </row>
    <row r="72" spans="1:19" ht="13.5" customHeight="1" x14ac:dyDescent="0.15">
      <c r="A72" s="158"/>
      <c r="B72" s="128"/>
      <c r="C72" s="128"/>
      <c r="D72" s="169"/>
      <c r="E72" s="1258"/>
      <c r="F72" s="1258"/>
      <c r="G72" s="1258"/>
      <c r="H72" s="1258"/>
      <c r="I72" s="158"/>
      <c r="J72" s="1258"/>
      <c r="K72" s="1258"/>
      <c r="L72" s="1258"/>
      <c r="M72" s="1258"/>
      <c r="N72" s="1259"/>
      <c r="O72" s="1354"/>
      <c r="P72" s="229">
        <f>+J39</f>
        <v>39417</v>
      </c>
      <c r="Q72" s="229">
        <f>+K39</f>
        <v>39783</v>
      </c>
      <c r="R72" s="229">
        <f>+L39</f>
        <v>40178</v>
      </c>
      <c r="S72" s="229">
        <f>+M39</f>
        <v>40543</v>
      </c>
    </row>
    <row r="73" spans="1:19" ht="13.5" customHeight="1" x14ac:dyDescent="0.15">
      <c r="A73" s="151" t="s">
        <v>318</v>
      </c>
      <c r="B73" s="152"/>
      <c r="C73" s="152"/>
      <c r="D73" s="155">
        <f>D67+D69-D71</f>
        <v>9000.4574999999913</v>
      </c>
      <c r="E73" s="1251">
        <f>E67+E69-E71</f>
        <v>18383.026649999963</v>
      </c>
      <c r="F73" s="1251">
        <f>F67+F69-F71</f>
        <v>21368.328298880107</v>
      </c>
      <c r="G73" s="1251">
        <f>G67+G69-G71</f>
        <v>27766.667000000056</v>
      </c>
      <c r="H73" s="1251">
        <f>H67+H69-H71</f>
        <v>17058.914000000026</v>
      </c>
      <c r="I73" s="151" t="s">
        <v>319</v>
      </c>
      <c r="J73" s="1251">
        <f>IF( Saisie!E120=0,"0,0",D28-Saisie!D62+(D27+Saisie!E61)-(Saisie!D58+Saisie!D61))</f>
        <v>30403.940999999999</v>
      </c>
      <c r="K73" s="1251">
        <f>IF( Saisie!F120=0,"0,0",E28-Saisie!E62+(E27+Saisie!F61)-(Saisie!E58+Saisie!E61))</f>
        <v>96016.020030000014</v>
      </c>
      <c r="L73" s="1251">
        <f>IF( Saisie!G120=0,"0,0",F28-Saisie!F62+(F27+Saisie!G61)-(Saisie!F58+Saisie!F61))</f>
        <v>-103691.90703</v>
      </c>
      <c r="M73" s="1251">
        <f>IF( Saisie!H120=0,"0,0",G28-Saisie!G62+(G27+Saisie!H61)-(Saisie!G58+Saisie!G61))</f>
        <v>81891.64499999999</v>
      </c>
      <c r="N73" s="1252">
        <f>IF( Saisie!I120=0,"0,0",H28-Saisie!H62+(H27+Saisie!I61)-(Saisie!H58+Saisie!H61))</f>
        <v>-102483.545</v>
      </c>
    </row>
    <row r="74" spans="1:19" ht="13.5" customHeight="1" x14ac:dyDescent="0.15">
      <c r="A74" s="144"/>
      <c r="B74" s="145"/>
      <c r="C74" s="145"/>
      <c r="D74" s="157"/>
      <c r="E74" s="195"/>
      <c r="F74" s="195"/>
      <c r="G74" s="195"/>
      <c r="H74" s="196"/>
      <c r="I74" s="171" t="s">
        <v>802</v>
      </c>
      <c r="J74" s="1289">
        <f>D28-C28</f>
        <v>30403.940999999999</v>
      </c>
      <c r="K74" s="1289">
        <f>E28-D28</f>
        <v>96016.020030000014</v>
      </c>
      <c r="L74" s="1290">
        <f>F28-E28</f>
        <v>-103691.90703</v>
      </c>
      <c r="M74" s="1290">
        <f>G28-F28</f>
        <v>81891.64499999999</v>
      </c>
      <c r="N74" s="1291">
        <f>H28-G28</f>
        <v>-102483.545</v>
      </c>
    </row>
    <row r="75" spans="1:19" ht="13.5" customHeight="1" x14ac:dyDescent="0.15">
      <c r="A75" s="142"/>
      <c r="B75" s="149"/>
      <c r="C75" s="149"/>
      <c r="D75" s="207"/>
      <c r="E75" s="1335"/>
      <c r="F75" s="1335"/>
      <c r="G75" s="1335"/>
      <c r="H75" s="1336"/>
      <c r="I75" s="171" t="s">
        <v>803</v>
      </c>
      <c r="J75" s="1292">
        <f>J73-J74</f>
        <v>0</v>
      </c>
      <c r="K75" s="1292">
        <f>K73-K74</f>
        <v>0</v>
      </c>
      <c r="L75" s="1293">
        <f>L73-L74</f>
        <v>0</v>
      </c>
      <c r="M75" s="1293">
        <f>M73-M74</f>
        <v>0</v>
      </c>
      <c r="N75" s="1294">
        <f>N73-N74</f>
        <v>0</v>
      </c>
    </row>
    <row r="76" spans="1:19" ht="13.5" hidden="1" customHeight="1" thickTop="1" thickBot="1" x14ac:dyDescent="0.2">
      <c r="A76" s="208"/>
      <c r="B76" s="209"/>
      <c r="C76" s="209"/>
      <c r="D76" s="210"/>
      <c r="E76" s="1337" t="s">
        <v>133</v>
      </c>
      <c r="F76" s="1337" t="s">
        <v>133</v>
      </c>
      <c r="G76" s="1337" t="s">
        <v>133</v>
      </c>
      <c r="H76" s="1338" t="s">
        <v>133</v>
      </c>
      <c r="I76" s="208"/>
      <c r="J76" s="1295"/>
      <c r="K76" s="1295"/>
      <c r="L76" s="1295"/>
      <c r="M76" s="1295"/>
      <c r="N76" s="1296"/>
    </row>
    <row r="77" spans="1:19" ht="17.25" customHeight="1" x14ac:dyDescent="0.15">
      <c r="A77" s="1503" t="s">
        <v>320</v>
      </c>
      <c r="B77" s="1508"/>
      <c r="C77" s="1508"/>
      <c r="D77" s="1509">
        <f>D39</f>
        <v>39417</v>
      </c>
      <c r="E77" s="1509">
        <f>E39</f>
        <v>39783</v>
      </c>
      <c r="F77" s="1509">
        <f>F39</f>
        <v>40178</v>
      </c>
      <c r="G77" s="1509">
        <f>G39</f>
        <v>40543</v>
      </c>
      <c r="H77" s="1509">
        <f>H39</f>
        <v>46022</v>
      </c>
      <c r="I77" s="1503" t="s">
        <v>321</v>
      </c>
      <c r="J77" s="1509">
        <f>J39</f>
        <v>39417</v>
      </c>
      <c r="K77" s="1509">
        <f>K39</f>
        <v>39783</v>
      </c>
      <c r="L77" s="1509">
        <f>L39</f>
        <v>40178</v>
      </c>
      <c r="M77" s="1509">
        <f>M39</f>
        <v>40543</v>
      </c>
      <c r="N77" s="1509">
        <f>N39</f>
        <v>46022</v>
      </c>
    </row>
    <row r="78" spans="1:19" ht="13.5" customHeight="1" x14ac:dyDescent="0.15">
      <c r="A78" s="144"/>
      <c r="B78" s="145"/>
      <c r="C78" s="145"/>
      <c r="D78" s="157"/>
      <c r="E78" s="195"/>
      <c r="F78" s="195"/>
      <c r="G78" s="195"/>
      <c r="H78" s="196"/>
      <c r="I78" s="211"/>
      <c r="J78" s="1288"/>
      <c r="K78" s="1288"/>
      <c r="L78" s="1288"/>
      <c r="M78" s="1288"/>
      <c r="N78" s="1297"/>
    </row>
    <row r="79" spans="1:19" ht="13.5" customHeight="1" x14ac:dyDescent="0.15">
      <c r="A79" s="1156" t="s">
        <v>325</v>
      </c>
      <c r="B79" s="1157"/>
      <c r="C79" s="1157"/>
      <c r="D79" s="1194">
        <f>IF(OR(D6=0,J8=0),"n/d",D73/D6/J8)</f>
        <v>3.505345300994276E-2</v>
      </c>
      <c r="E79" s="1194">
        <f>IF(OR(E6=0,K8=0),"n/d",E73/E6/K8)</f>
        <v>0.17381836780293078</v>
      </c>
      <c r="F79" s="1194">
        <f>IF(OR(F6=0,L8=0),"n/d",F73/F6/L8)</f>
        <v>0.1557034570888928</v>
      </c>
      <c r="G79" s="1194">
        <f>IF(OR(G6=0,M8=0),"n/d",G73/G6/M8)</f>
        <v>0.17680814057951025</v>
      </c>
      <c r="H79" s="1195">
        <f>IF(OR(H6=0,N8=0),"n/d",H73/H6/N8)</f>
        <v>1.1602908269047387E-2</v>
      </c>
      <c r="I79" s="1167" t="s">
        <v>645</v>
      </c>
      <c r="J79" s="1187">
        <f>IF(D63=0,"n/d",D56/D63)</f>
        <v>5.5765713941837758</v>
      </c>
      <c r="K79" s="1187">
        <f>IF(E63=0,"n/d",E56/E63)</f>
        <v>6.3223488466144824</v>
      </c>
      <c r="L79" s="1187">
        <f>IF(F63=0,"n/d",F56/F63)</f>
        <v>3.7809482062793425</v>
      </c>
      <c r="M79" s="1187">
        <f>IF(G63=0,"n/d",G56/G63)</f>
        <v>1.9673144382125898</v>
      </c>
      <c r="N79" s="1188">
        <f>IF(H63=0,"n/d",H56/H63)</f>
        <v>27.389958273229755</v>
      </c>
    </row>
    <row r="80" spans="1:19" ht="13.5" customHeight="1" x14ac:dyDescent="0.15">
      <c r="A80" s="1162" t="s">
        <v>630</v>
      </c>
      <c r="B80" s="1157"/>
      <c r="C80" s="1157"/>
      <c r="D80" s="1194">
        <f>IF(OR(D6=0,D41=0),"n/d",D73/D6/D41)</f>
        <v>7.2079733758301451E-3</v>
      </c>
      <c r="E80" s="1194">
        <f>IF(OR(E6=0,E41=0),"n/d",E73/E6/E41)</f>
        <v>2.5534332547877053E-2</v>
      </c>
      <c r="F80" s="1194">
        <f>IF(OR(F6=0,F41=0),"n/d",F73/F6/F41)</f>
        <v>2.175094532307572E-2</v>
      </c>
      <c r="G80" s="1194">
        <f>IF(OR(G6=0,G41=0),"n/d",G73/G6/G41)</f>
        <v>1.7180167417173847E-2</v>
      </c>
      <c r="H80" s="1195">
        <f>IF(OR(H6=0,H41=0),"n/d",H73/H6/H41)</f>
        <v>5.0898002101515301E-3</v>
      </c>
      <c r="I80" s="1167" t="s">
        <v>647</v>
      </c>
      <c r="J80" s="1187">
        <f>IF(J57+D63+D64=0,"n/d",D56/(D63+D64+J57))</f>
        <v>5.5765713941837758</v>
      </c>
      <c r="K80" s="1187">
        <f>IF(K57+E63+E64=0,"n/d",E56/(E63+E64+K57))</f>
        <v>6.3223488466144824</v>
      </c>
      <c r="L80" s="1187">
        <f>IF(L57+F63+F64=0,"n/d",F56/(F63+F64+L57))</f>
        <v>3.4425100317303778</v>
      </c>
      <c r="M80" s="1187">
        <f>IF(M57+G63+G64=0,"n/d",G56/(G63+G64+M57))</f>
        <v>1.9673144382125898</v>
      </c>
      <c r="N80" s="1188">
        <f>IF(N57+H63+H64=0,"n/d",H56/(H63+H64+N57))</f>
        <v>27.389958273229755</v>
      </c>
    </row>
    <row r="81" spans="1:15" ht="13.5" customHeight="1" x14ac:dyDescent="0.15">
      <c r="A81" s="1162" t="s">
        <v>631</v>
      </c>
      <c r="B81" s="1157"/>
      <c r="C81" s="1157"/>
      <c r="D81" s="1194">
        <f>IF(OR(D6=0,D31=0),"n/d",D73/D6/D31)</f>
        <v>7.9374144985486297E-3</v>
      </c>
      <c r="E81" s="1194">
        <f>IF(OR(E6=0,E31=0),"n/d",E73/E6/E31)</f>
        <v>2.8374982000478787E-2</v>
      </c>
      <c r="F81" s="1194">
        <f>IF(OR(F6=0,F31=0),"n/d",F73/F6/F31)</f>
        <v>2.5387160138827691E-2</v>
      </c>
      <c r="G81" s="1194">
        <f>IF(OR(G6=0,G31=0),"n/d",G73/G6/G31)</f>
        <v>2.5046891591653374E-2</v>
      </c>
      <c r="H81" s="1195">
        <f>IF(OR(H6=0,H31=0),"n/d",H73/H6/H31)</f>
        <v>1.3359175238188538E-2</v>
      </c>
      <c r="I81" s="1167" t="s">
        <v>646</v>
      </c>
      <c r="J81" s="1187">
        <f>IF(J65+D64+D63=0,"n/d",D56/(D63+D64-J58))</f>
        <v>5.5765713941837758</v>
      </c>
      <c r="K81" s="1187">
        <f>IF(K65+E64+E63=0,"n/d",E56/(E63+E64-K58))</f>
        <v>6.3223488466144824</v>
      </c>
      <c r="L81" s="1187">
        <f>IF(L65+F64+F63=0,"n/d",F56/(F63+F64-L58))</f>
        <v>3.6609762378057717</v>
      </c>
      <c r="M81" s="1187">
        <f>IF(M65+G64+G63=0,"n/d",G56/(G63+G64-M58))</f>
        <v>1.9673144382125898</v>
      </c>
      <c r="N81" s="1190">
        <f>IF(N65+H64+H63=0,"n/d",H56/(H63+H64-N58))</f>
        <v>27.389958273229755</v>
      </c>
    </row>
    <row r="82" spans="1:15" ht="13.5" customHeight="1" x14ac:dyDescent="0.15">
      <c r="A82" s="1162"/>
      <c r="B82" s="1157"/>
      <c r="C82" s="1157"/>
      <c r="D82" s="1158"/>
      <c r="E82" s="1158"/>
      <c r="F82" s="1158"/>
      <c r="G82" s="1158"/>
      <c r="H82" s="1168"/>
      <c r="I82" s="1167"/>
      <c r="J82" s="1160"/>
      <c r="K82" s="1160"/>
      <c r="L82" s="1160"/>
      <c r="M82" s="1160"/>
      <c r="N82" s="1161"/>
      <c r="O82" s="1427"/>
    </row>
    <row r="83" spans="1:15" ht="13.5" customHeight="1" x14ac:dyDescent="0.15">
      <c r="A83" s="1162" t="s">
        <v>322</v>
      </c>
      <c r="B83" s="1159"/>
      <c r="C83" s="1159"/>
      <c r="D83" s="1163">
        <f>IF(D41=0,"n/d ",D51/D41)</f>
        <v>0.1225164075887529</v>
      </c>
      <c r="E83" s="1163">
        <f>IF(E41=0,"n/d ",E51/E41)</f>
        <v>0.10949734762631035</v>
      </c>
      <c r="F83" s="1163">
        <f>IF(F41=0,"n/d ",F51/F41)</f>
        <v>0.17789394716998388</v>
      </c>
      <c r="G83" s="1163">
        <f>IF(G41=0,"n/d ",G51/G41)</f>
        <v>0.14723784357112629</v>
      </c>
      <c r="H83" s="1163">
        <f>IF(H41=0,"n/d ",H51/H41)</f>
        <v>0.31263842251623153</v>
      </c>
      <c r="I83" s="1156" t="s">
        <v>84</v>
      </c>
      <c r="J83" s="1164" t="str">
        <f>IF(OR((J54-D63)&lt;0,(Saisie!D192+D63+D64)=0,(Saisie!E120=0)),"n/d",(J54)/(D63+D64+Saisie!D192))</f>
        <v>n/d</v>
      </c>
      <c r="K83" s="1164" t="str">
        <f>IF(OR((K54-E63)&lt;0,(Saisie!E192+E63+E64)=0,(Saisie!F120=0)),"n/d",(K54)/(E63+E64+Saisie!E192))</f>
        <v>n/d</v>
      </c>
      <c r="L83" s="1164" t="str">
        <f>IF(OR((L54-F63)&lt;0,(Saisie!F192+F63+F64)=0,(Saisie!G120=0)),"n/d",(L54)/(F63+F64+Saisie!F192))</f>
        <v>n/d</v>
      </c>
      <c r="M83" s="1164" t="str">
        <f>IF(OR((M54-G63)&lt;0,(Saisie!G192+G63+G64)=0,(Saisie!H120=0)),"n/d",(M54)/(G63+G64+Saisie!G192))</f>
        <v>n/d</v>
      </c>
      <c r="N83" s="1165">
        <f>IF(OR((N54-H63)&lt;0,(Saisie!H192+H63+H64)=0,(Saisie!I120=0)),"n/d",(N54)/(H63+H64+Saisie!H192))</f>
        <v>575.50161769163469</v>
      </c>
      <c r="O83" s="1428"/>
    </row>
    <row r="84" spans="1:15" ht="13.5" customHeight="1" x14ac:dyDescent="0.15">
      <c r="A84" s="1156" t="s">
        <v>323</v>
      </c>
      <c r="B84" s="1159"/>
      <c r="C84" s="1159"/>
      <c r="D84" s="1163">
        <f>IF(D41=0,"n/d ",D56/D41)</f>
        <v>7.168898295552785E-2</v>
      </c>
      <c r="E84" s="1163">
        <f>IF(E41=0,"n/d ",E56/E41)</f>
        <v>6.2834775360365705E-2</v>
      </c>
      <c r="F84" s="1163">
        <f>IF(F41=0,"n/d ",F56/F41)</f>
        <v>9.4057213010614746E-2</v>
      </c>
      <c r="G84" s="1163">
        <f>IF(G41=0,"n/d ",G56/G41)</f>
        <v>7.0562815675943497E-2</v>
      </c>
      <c r="H84" s="1163">
        <f>IF(H41=0,"n/d ",H56/H41)</f>
        <v>0.1141273997168126</v>
      </c>
      <c r="I84" s="1156" t="s">
        <v>648</v>
      </c>
      <c r="J84" s="1164" t="str">
        <f>IF(OR((J54-J56)&lt;0,Saisie!D192+D64+D63=0,Saisie!E120=0),"n/d",(J54-J56)/(Saisie!D192+D63+D64))</f>
        <v>n/d</v>
      </c>
      <c r="K84" s="1164" t="str">
        <f>IF(OR((K54-K56)&lt;0,Saisie!E192+E64+E63=0,Saisie!F120=0),"n/d",(K54-K56)/(Saisie!E192+E63+E64))</f>
        <v>n/d</v>
      </c>
      <c r="L84" s="1164" t="str">
        <f>IF(OR((L54-L56)&lt;0,Saisie!F192+F64+F63=0,Saisie!G120=0),"n/d",(L54-L56)/(Saisie!F192+F63+F64))</f>
        <v>n/d</v>
      </c>
      <c r="M84" s="1164" t="str">
        <f>IF(OR((M54-M56)&lt;0,Saisie!G192+G64+G63=0,Saisie!H120=0),"n/d",(M54-M56)/(Saisie!G192+G63+G64))</f>
        <v>n/d</v>
      </c>
      <c r="N84" s="1165">
        <f>IF(OR((N54-N56)&lt;0,Saisie!H192+H64+H63=0,Saisie!I120=0),"n/d",(N54-N56)/(Saisie!H192+H63+H64))</f>
        <v>617.71417484828089</v>
      </c>
    </row>
    <row r="85" spans="1:15" ht="13.5" customHeight="1" x14ac:dyDescent="0.15">
      <c r="A85" s="1156" t="s">
        <v>629</v>
      </c>
      <c r="B85" s="1159"/>
      <c r="C85" s="1159"/>
      <c r="D85" s="1163">
        <f>IF(D41=0,"n/d", D61/D41)</f>
        <v>4.4328051522050528E-2</v>
      </c>
      <c r="E85" s="1163">
        <f>IF(E41=0,"n/d", E61/E41)</f>
        <v>3.5864891223937045E-2</v>
      </c>
      <c r="F85" s="1163">
        <f>IF(F41=0,"n/d", F61/F41)</f>
        <v>7.1057442033479759E-2</v>
      </c>
      <c r="G85" s="1163">
        <f>IF(G41=0,"n/d", G61/G41)</f>
        <v>5.4379600574860638E-2</v>
      </c>
      <c r="H85" s="1163">
        <f>IF(H41=0,"n/d", H61/H41)</f>
        <v>8.4261850076778375E-2</v>
      </c>
      <c r="I85" s="1156"/>
      <c r="J85" s="1164"/>
      <c r="K85" s="1164"/>
      <c r="L85" s="1164"/>
      <c r="M85" s="1164"/>
      <c r="N85" s="1165"/>
    </row>
    <row r="86" spans="1:15" ht="13.5" customHeight="1" x14ac:dyDescent="0.15">
      <c r="A86" s="1156"/>
      <c r="B86" s="1159"/>
      <c r="C86" s="1159"/>
      <c r="D86" s="1163"/>
      <c r="E86" s="1163"/>
      <c r="F86" s="1163"/>
      <c r="G86" s="1163"/>
      <c r="H86" s="1163"/>
      <c r="I86" s="1156" t="s">
        <v>83</v>
      </c>
      <c r="J86" s="1164" t="str">
        <f>IF(OR(J54=0,J54&lt;0,D93&lt;0),"n/d",D93/J54)</f>
        <v>n/d</v>
      </c>
      <c r="K86" s="1189" t="str">
        <f>IF(OR(K54=0,K54&lt;0,E93&lt;0),"n/d",E93/K54)</f>
        <v>n/d</v>
      </c>
      <c r="L86" s="1189" t="str">
        <f>IF(OR(L54=0,L54&lt;0,F93&lt;0,Saisie!G120=0),"n/d",F93/L54)</f>
        <v>n/d</v>
      </c>
      <c r="M86" s="1189" t="str">
        <f>IF(OR(M54=0,M54&lt;0,G93&lt;0),"n/d",G93/M54)</f>
        <v>n/d</v>
      </c>
      <c r="N86" s="1165">
        <f>IF(OR(N54=0,N54&lt;0,H93&lt;0),"n/d",H93/N54)</f>
        <v>2.2596770439302725E-2</v>
      </c>
      <c r="O86" s="1429"/>
    </row>
    <row r="87" spans="1:15" ht="13.5" customHeight="1" x14ac:dyDescent="0.15">
      <c r="A87" s="1166" t="s">
        <v>54</v>
      </c>
      <c r="B87" s="1159"/>
      <c r="C87" s="1159"/>
      <c r="D87" s="1163" t="str">
        <f>IF(OR(C41=0,D41=0,C6=0),"n/d",((D41/C41)*(1/C6))-1)</f>
        <v>n/d</v>
      </c>
      <c r="E87" s="1163">
        <f>IF(OR(D41=0,E41=0,D6=0),"n/d",((E41/D41)*(1/D6))-1)</f>
        <v>-0.42501982062290744</v>
      </c>
      <c r="F87" s="1163">
        <f>IF(OR(E41=0,F41=0,E6=0),"n/d",((F41/E41)*(1/E6))-1)</f>
        <v>0.26094363272445387</v>
      </c>
      <c r="G87" s="1163">
        <f>IF(OR(F41=0,G41=0,F6=0),"n/d",((G41/F41)*(1/F6))-1)</f>
        <v>0.64514411963487195</v>
      </c>
      <c r="H87" s="1163">
        <f>IF(OR(G41=0,H41=0,G6=0),"n/d",((H41/G41)*(1/G6))-1)</f>
        <v>-0.86185160355936374</v>
      </c>
      <c r="I87" s="1156" t="s">
        <v>200</v>
      </c>
      <c r="J87" s="1191">
        <f>IF(OR(J8=0,D92&lt;0),"n/d",D92/J8)</f>
        <v>1.156324243638535</v>
      </c>
      <c r="K87" s="1191">
        <f>IF(OR(K8=0,E92&lt;0),"n/d",E92/K8)</f>
        <v>1.2252384458429713</v>
      </c>
      <c r="L87" s="1191">
        <f>IF(OR(L8=0,F92&lt;0),"n/d",F92/L8)</f>
        <v>1.0552378927822552</v>
      </c>
      <c r="M87" s="1191">
        <f>IF(OR(M8=0,G92&lt;0),"n/d",G92/M8)</f>
        <v>0.83908554627025578</v>
      </c>
      <c r="N87" s="1192">
        <f>IF(OR(N8=0,H92&lt;0),"n/d",H92/N8)</f>
        <v>8.1679656369601672E-2</v>
      </c>
    </row>
    <row r="88" spans="1:15" ht="13.5" customHeight="1" x14ac:dyDescent="0.15">
      <c r="A88" s="1166" t="s">
        <v>632</v>
      </c>
      <c r="B88" s="1159"/>
      <c r="C88" s="1159"/>
      <c r="D88" s="1163" t="str">
        <f>IF(Saisie!E121=0,"n/d",Saisie!E121/D41)</f>
        <v>n/d</v>
      </c>
      <c r="E88" s="1163" t="str">
        <f>IF(Saisie!F121=0,"n/d",Saisie!F121/E41)</f>
        <v>n/d</v>
      </c>
      <c r="F88" s="1163" t="str">
        <f>IF(Saisie!G121=0,"n/d",Saisie!G121/F41)</f>
        <v>n/d</v>
      </c>
      <c r="G88" s="1163" t="str">
        <f>IF(Saisie!H121=0,"n/d",Saisie!H121/G41)</f>
        <v>n/d</v>
      </c>
      <c r="H88" s="1163" t="str">
        <f>IF(Saisie!I121=0,"n/d",Saisie!I121/H41)</f>
        <v>n/d</v>
      </c>
      <c r="I88" s="1156" t="s">
        <v>201</v>
      </c>
      <c r="J88" s="1191">
        <f>IF(OR(J8=0,D93&lt;0),"n/d",D93/J8)</f>
        <v>1.5863051157662937</v>
      </c>
      <c r="K88" s="1191">
        <f>IF(OR(K8=0,E93&lt;0),"n/d",E93/K8)</f>
        <v>3.0162191909169009</v>
      </c>
      <c r="L88" s="1191">
        <f>IF(OR(L8=0,F93&lt;0),"n/d",F93/L8)</f>
        <v>2.3790958320607047</v>
      </c>
      <c r="M88" s="1191">
        <f>IF(OR(M8=0,G93&lt;0),"n/d",G93/M8)</f>
        <v>3.7167205179046161</v>
      </c>
      <c r="N88" s="1192">
        <f>IF(OR(N8=0,H93&lt;0),"n/d",H93/N8)</f>
        <v>0.12352577792087602</v>
      </c>
    </row>
    <row r="89" spans="1:15" ht="13.5" customHeight="1" x14ac:dyDescent="0.15">
      <c r="A89" s="1156" t="s">
        <v>55</v>
      </c>
      <c r="B89" s="1159"/>
      <c r="C89" s="1159"/>
      <c r="D89" s="1163">
        <f>IF(D41=0,"n/d",D48/D41)</f>
        <v>0.87748359241124707</v>
      </c>
      <c r="E89" s="1163">
        <f>IF(E41=0,"n/d",E48/E41)</f>
        <v>0.89050265237368964</v>
      </c>
      <c r="F89" s="1163">
        <f>IF(F41=0,"n/d",F48/F41)</f>
        <v>0.84354745906728779</v>
      </c>
      <c r="G89" s="1163">
        <f>IF(G41=0,"n/d",G48/G41)</f>
        <v>0.85328948320252995</v>
      </c>
      <c r="H89" s="1163">
        <f>IF(H41=0,"n/d",H48/H41)</f>
        <v>0.68784888000880162</v>
      </c>
      <c r="I89" s="1156" t="s">
        <v>202</v>
      </c>
      <c r="J89" s="1191">
        <f>IF(OR(J8=0,D94&lt;0),"n/d",D94/J8)</f>
        <v>1.2310688012254254</v>
      </c>
      <c r="K89" s="1191">
        <f>IF(OR(K8=0,E94&lt;0),"n/d",E94/K8)</f>
        <v>1.8175964206801889</v>
      </c>
      <c r="L89" s="1191">
        <f>IF(OR(L8=0,F94&lt;0),"n/d",F94/L8)</f>
        <v>2.1998726468052872</v>
      </c>
      <c r="M89" s="1191">
        <f>IF(OR(M8=0,G94&lt;0),"n/d",G94/M8)</f>
        <v>3.0505399335306249</v>
      </c>
      <c r="N89" s="1192">
        <f>IF(OR(N8=0,H94&lt;0),"n/d",H94/N8)</f>
        <v>0.10171573733680725</v>
      </c>
    </row>
    <row r="90" spans="1:15" ht="13.5" customHeight="1" x14ac:dyDescent="0.15">
      <c r="A90" s="1156"/>
      <c r="B90" s="1159"/>
      <c r="C90" s="1159"/>
      <c r="D90" s="1163"/>
      <c r="E90" s="1163"/>
      <c r="F90" s="1163"/>
      <c r="G90" s="1163"/>
      <c r="H90" s="1163"/>
      <c r="I90" s="1156" t="s">
        <v>643</v>
      </c>
      <c r="J90" s="1189">
        <f>IF(OR(D56=0,D56&lt;0,D93&lt;0),"n/d",D93/D56)</f>
        <v>4.5500552902715814</v>
      </c>
      <c r="K90" s="1189">
        <f>IF(OR(E56=0,E56&lt;0,E93&lt;0),"n/d",E93/E56)</f>
        <v>7.0516650395716782</v>
      </c>
      <c r="L90" s="1189">
        <f>IF(OR(F56=0,F56&lt;0,F93&lt;0),"n/d",F93/F56)</f>
        <v>3.533456192906586</v>
      </c>
      <c r="M90" s="1189">
        <f>IF(OR(G56=0,G56&lt;0,G93&lt;0),"n/d",G93/G56)</f>
        <v>5.1181043680588623</v>
      </c>
      <c r="N90" s="1190">
        <f>IF(OR(H56=0,H56&lt;0,H93&lt;0),"n/d",H93/H56)</f>
        <v>0.47478998736319622</v>
      </c>
    </row>
    <row r="91" spans="1:15" ht="13.5" customHeight="1" x14ac:dyDescent="0.15">
      <c r="A91" s="1156" t="s">
        <v>638</v>
      </c>
      <c r="B91" s="1159"/>
      <c r="C91" s="1159"/>
      <c r="D91" s="1193">
        <f>J29+J96</f>
        <v>36801.173000000003</v>
      </c>
      <c r="E91" s="1193">
        <f>K29+K96</f>
        <v>188896.5583</v>
      </c>
      <c r="F91" s="1193">
        <f>L29+L96</f>
        <v>167884.05300000001</v>
      </c>
      <c r="G91" s="1193">
        <f>M29+M96</f>
        <v>451915.45899999997</v>
      </c>
      <c r="H91" s="1193">
        <f>N29+N96</f>
        <v>4098.5600000000004</v>
      </c>
      <c r="I91" s="1167" t="s">
        <v>644</v>
      </c>
      <c r="J91" s="1158">
        <f>IF(OR(D56=0,D56&lt;0,D94&lt;0),"n/d",D94/D56)</f>
        <v>3.5311183554988199</v>
      </c>
      <c r="K91" s="1189">
        <f>IF(OR(E56=0,E56&lt;0,E94&lt;0),"n/d",E94/E56)</f>
        <v>4.2493865082347799</v>
      </c>
      <c r="L91" s="1189">
        <f>IF(OR(F56=0,F56&lt;0,F94&lt;0),"n/d",F94/F56)</f>
        <v>3.2672721807624967</v>
      </c>
      <c r="M91" s="1189">
        <f>IF(OR(G56=0,G56&lt;0,G94&lt;0),"n/d",G94/G56)</f>
        <v>4.2007414018698528</v>
      </c>
      <c r="N91" s="1190">
        <f>IF(OR(H56=0,H56&lt;0,H94&lt;0),"n/d",H94/H56)</f>
        <v>0.39095980173235745</v>
      </c>
    </row>
    <row r="92" spans="1:15" ht="13.5" customHeight="1" x14ac:dyDescent="0.15">
      <c r="A92" s="1156" t="s">
        <v>639</v>
      </c>
      <c r="B92" s="1159"/>
      <c r="C92" s="1159"/>
      <c r="D92" s="1193">
        <f>J17+2/3*(J35)+J34</f>
        <v>98967.399000000005</v>
      </c>
      <c r="E92" s="1193">
        <f>K17+2/3*(K35)+K34</f>
        <v>129227.14337000001</v>
      </c>
      <c r="F92" s="1193">
        <f>L17+2/3*(L35)+L34</f>
        <v>133819.20300000001</v>
      </c>
      <c r="G92" s="1193">
        <f>M17+2/3*(M35)+M34</f>
        <v>131773.39499999999</v>
      </c>
      <c r="H92" s="1193">
        <f>N17+2/3*(N35)+N34</f>
        <v>8000</v>
      </c>
      <c r="I92" s="1156"/>
      <c r="J92" s="1158"/>
      <c r="K92" s="1158"/>
      <c r="L92" s="1158"/>
      <c r="M92" s="1158"/>
      <c r="N92" s="1168"/>
    </row>
    <row r="93" spans="1:15" ht="13.5" customHeight="1" x14ac:dyDescent="0.15">
      <c r="A93" s="1156" t="s">
        <v>640</v>
      </c>
      <c r="B93" s="1159"/>
      <c r="C93" s="1159"/>
      <c r="D93" s="1193">
        <f>D92+D91-J96</f>
        <v>135768.57200000001</v>
      </c>
      <c r="E93" s="1193">
        <f>E92+E91-K96</f>
        <v>318123.70166999998</v>
      </c>
      <c r="F93" s="1193">
        <f>F92+F91-L96</f>
        <v>301703.25600000005</v>
      </c>
      <c r="G93" s="1193">
        <f>G92+G91-M96</f>
        <v>583688.85399999993</v>
      </c>
      <c r="H93" s="1193">
        <f>H92+H91-N96</f>
        <v>12098.560000000001</v>
      </c>
      <c r="I93" s="1156" t="s">
        <v>324</v>
      </c>
      <c r="J93" s="1169">
        <f>IF(D41=0,"n/d ",(D23/D41)*360*D6)</f>
        <v>282.0410501471851</v>
      </c>
      <c r="K93" s="1169">
        <f>IF(E41=0,"n/d ",(E23/E41)*360*E6)</f>
        <v>132.08756050204073</v>
      </c>
      <c r="L93" s="1169">
        <f>IF(F41=0,"n/d ",(F23/F41)*360*F6)</f>
        <v>204.16989007341931</v>
      </c>
      <c r="M93" s="1169">
        <f>IF(G41=0,"n/d ",(G23/G41)*360*G6)</f>
        <v>99.036897493059541</v>
      </c>
      <c r="N93" s="1170">
        <f>IF(H41=0,"n/d ",(H23/H41)*360*H6)</f>
        <v>483.05359773237387</v>
      </c>
    </row>
    <row r="94" spans="1:15" ht="13.5" customHeight="1" x14ac:dyDescent="0.15">
      <c r="A94" s="1156" t="s">
        <v>641</v>
      </c>
      <c r="B94" s="1159"/>
      <c r="C94" s="1159"/>
      <c r="D94" s="1193">
        <f>D93-D28-D27</f>
        <v>105364.63100000002</v>
      </c>
      <c r="E94" s="1193">
        <f>E93-E28-E27</f>
        <v>191703.74063999997</v>
      </c>
      <c r="F94" s="1193">
        <f>F93-F28-F27</f>
        <v>278975.20200000005</v>
      </c>
      <c r="G94" s="1193">
        <f>G93-G28-G27</f>
        <v>479069.15499999991</v>
      </c>
      <c r="H94" s="1193">
        <f>H93-H28-H27</f>
        <v>9962.4060000000009</v>
      </c>
      <c r="I94" s="1156" t="s">
        <v>326</v>
      </c>
      <c r="J94" s="1169">
        <f>IF(D41=0,"n/d ",((D25+J34)/D41)*360*D6)</f>
        <v>279.50252923578375</v>
      </c>
      <c r="K94" s="1169">
        <f>IF(E41=0,"n/d ",((E25+K34)/E41)*360*E6)</f>
        <v>28.857895463448266</v>
      </c>
      <c r="L94" s="1169">
        <f>IF(F41=0,"n/d ",((F25+L34)/F41)*360*F6)</f>
        <v>50.463787434206218</v>
      </c>
      <c r="M94" s="1169">
        <f>IF(G41=0,"n/d ",((G25+M34)/G41)*360*G6)</f>
        <v>85.46893706218637</v>
      </c>
      <c r="N94" s="1170">
        <f>IF(H41=0,"n/d ",((H25+N34)/H41)*360*H6)</f>
        <v>31.377751585362095</v>
      </c>
    </row>
    <row r="95" spans="1:15" ht="13.5" customHeight="1" thickBot="1" x14ac:dyDescent="0.2">
      <c r="A95" s="1171"/>
      <c r="B95" s="1172"/>
      <c r="C95" s="1172"/>
      <c r="D95" s="1173"/>
      <c r="E95" s="1173"/>
      <c r="F95" s="1173"/>
      <c r="G95" s="1173"/>
      <c r="H95" s="1173"/>
      <c r="I95" s="1171" t="s">
        <v>327</v>
      </c>
      <c r="J95" s="1174">
        <f>IF(D48=0,"n/d ",(J26/D48)*360*D6)</f>
        <v>204.02148368668585</v>
      </c>
      <c r="K95" s="1174">
        <f>IF(E48=0,"n/d ",(K26/E48)*360*E6)</f>
        <v>116.30174317880423</v>
      </c>
      <c r="L95" s="1174">
        <f>IF(F48=0,"n/d ",(L26/F48)*360*F6)</f>
        <v>66.185618838639641</v>
      </c>
      <c r="M95" s="1174">
        <f>IF(G48=0,"n/d ",(M26/G48)*360*G6)</f>
        <v>86.517676077284335</v>
      </c>
      <c r="N95" s="1175">
        <f>IF(H48=0,"n/d ",(N26/H48)*360*H6)</f>
        <v>347.19172114554482</v>
      </c>
    </row>
    <row r="96" spans="1:15" ht="11.25" customHeight="1" thickTop="1" x14ac:dyDescent="0.15">
      <c r="A96" s="1225" t="s">
        <v>346</v>
      </c>
      <c r="B96" s="1222"/>
      <c r="C96" s="1222"/>
      <c r="D96" s="1223"/>
      <c r="E96" s="1223"/>
      <c r="F96" s="1223"/>
      <c r="G96" s="1223"/>
      <c r="H96" s="1224"/>
      <c r="I96" s="1226" t="s">
        <v>637</v>
      </c>
      <c r="J96" s="1298">
        <f>Saisie!E192</f>
        <v>0</v>
      </c>
      <c r="K96" s="1298">
        <f>Saisie!F192</f>
        <v>0</v>
      </c>
      <c r="L96" s="1298">
        <f>Saisie!G192</f>
        <v>0</v>
      </c>
      <c r="M96" s="1298">
        <f>Saisie!H192</f>
        <v>0</v>
      </c>
      <c r="N96" s="1299">
        <f>Saisie!I192</f>
        <v>0</v>
      </c>
    </row>
    <row r="97" spans="1:15" ht="11.25" customHeight="1" x14ac:dyDescent="0.15">
      <c r="A97" s="158"/>
      <c r="B97" s="128"/>
      <c r="C97" s="128"/>
      <c r="D97" s="212"/>
      <c r="E97" s="1305"/>
      <c r="F97" s="1305"/>
      <c r="G97" s="1305"/>
      <c r="H97" s="1306"/>
      <c r="I97" s="1154" t="s">
        <v>633</v>
      </c>
      <c r="J97" s="1300"/>
      <c r="K97" s="1300"/>
      <c r="L97" s="1300"/>
      <c r="M97" s="1300"/>
      <c r="N97" s="1301"/>
    </row>
    <row r="98" spans="1:15" ht="11.25" customHeight="1" x14ac:dyDescent="0.15">
      <c r="A98" s="158"/>
      <c r="B98" s="128"/>
      <c r="C98" s="128"/>
      <c r="D98" s="212"/>
      <c r="E98" s="1305"/>
      <c r="F98" s="1305"/>
      <c r="G98" s="1305"/>
      <c r="H98" s="1306"/>
      <c r="I98" s="1154" t="s">
        <v>634</v>
      </c>
      <c r="J98" s="1300"/>
      <c r="K98" s="1300"/>
      <c r="L98" s="1300"/>
      <c r="M98" s="1300"/>
      <c r="N98" s="1301"/>
    </row>
    <row r="99" spans="1:15" ht="11.25" customHeight="1" x14ac:dyDescent="0.15">
      <c r="A99" s="158"/>
      <c r="B99" s="128"/>
      <c r="C99" s="128"/>
      <c r="D99" s="212"/>
      <c r="E99" s="1305"/>
      <c r="F99" s="1305"/>
      <c r="G99" s="1305"/>
      <c r="H99" s="1306"/>
      <c r="I99" s="1154" t="s">
        <v>635</v>
      </c>
      <c r="J99" s="1300"/>
      <c r="K99" s="1300"/>
      <c r="L99" s="1300"/>
      <c r="M99" s="1300"/>
      <c r="N99" s="1301"/>
    </row>
    <row r="100" spans="1:15" ht="11.25" customHeight="1" thickBot="1" x14ac:dyDescent="0.2">
      <c r="A100" s="1219"/>
      <c r="B100" s="1220"/>
      <c r="C100" s="1220"/>
      <c r="D100" s="1221"/>
      <c r="E100" s="1339"/>
      <c r="F100" s="1339"/>
      <c r="G100" s="1339"/>
      <c r="H100" s="1340"/>
      <c r="I100" s="1153" t="s">
        <v>636</v>
      </c>
      <c r="J100" s="1302">
        <f>SUM(J96:J99)</f>
        <v>0</v>
      </c>
      <c r="K100" s="1302">
        <f>SUM(K96:K99)</f>
        <v>0</v>
      </c>
      <c r="L100" s="1302">
        <f>SUM(L96:L99)</f>
        <v>0</v>
      </c>
      <c r="M100" s="1302">
        <f>SUM(M96:M99)</f>
        <v>0</v>
      </c>
      <c r="N100" s="1303">
        <f>SUM(N96:N99)</f>
        <v>0</v>
      </c>
    </row>
    <row r="101" spans="1:15" ht="13.5" customHeight="1" thickTop="1" x14ac:dyDescent="0.15">
      <c r="A101" s="158" t="s">
        <v>328</v>
      </c>
      <c r="B101" s="128"/>
      <c r="C101" s="128"/>
      <c r="E101" s="1341"/>
      <c r="F101" s="1341"/>
      <c r="G101" s="1341"/>
      <c r="H101" s="1341"/>
      <c r="I101" s="128"/>
      <c r="J101" s="1304"/>
      <c r="K101" s="1305"/>
      <c r="L101" s="1305"/>
      <c r="M101" s="1305"/>
      <c r="N101" s="1306"/>
    </row>
    <row r="102" spans="1:15" s="213" customFormat="1" ht="13.5" customHeight="1" thickBot="1" x14ac:dyDescent="0.2">
      <c r="A102" s="1227" t="s">
        <v>329</v>
      </c>
      <c r="B102" s="1228"/>
      <c r="C102" s="1228"/>
      <c r="D102" s="1228"/>
      <c r="E102" s="1307"/>
      <c r="F102" s="1307"/>
      <c r="G102" s="1307"/>
      <c r="H102" s="1307"/>
      <c r="I102" s="1229"/>
      <c r="J102" s="1307"/>
      <c r="K102" s="1308"/>
      <c r="L102" s="1308"/>
      <c r="M102" s="1308"/>
      <c r="N102" s="1309"/>
      <c r="O102" s="1430" t="s">
        <v>133</v>
      </c>
    </row>
    <row r="103" spans="1:15" ht="15" thickTop="1" x14ac:dyDescent="0.15"/>
  </sheetData>
  <sheetProtection password="8ED5"/>
  <dataConsolidate/>
  <phoneticPr fontId="10" type="noConversion"/>
  <printOptions horizontalCentered="1" verticalCentered="1"/>
  <pageMargins left="0" right="0" top="0" bottom="0" header="0" footer="0"/>
  <pageSetup paperSize="9" scale="54" orientation="portrait" blackAndWhite="1" horizontalDpi="4294967292" verticalDpi="4294967292"/>
  <headerFooter alignWithMargins="0">
    <oddFooter>&amp;RV2 - janvier 2002</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573F"/>
    <pageSetUpPr fitToPage="1"/>
  </sheetPr>
  <dimension ref="A1:H75"/>
  <sheetViews>
    <sheetView showGridLines="0" zoomScale="75" workbookViewId="0">
      <selection activeCell="A7" sqref="A7"/>
    </sheetView>
  </sheetViews>
  <sheetFormatPr baseColWidth="10" defaultColWidth="11.5" defaultRowHeight="13" customHeight="1" x14ac:dyDescent="0.15"/>
  <cols>
    <col min="1" max="1" width="65.83203125" style="66" customWidth="1"/>
    <col min="2" max="2" width="0.83203125" style="66" hidden="1" customWidth="1"/>
    <col min="3" max="3" width="13.1640625" style="66" hidden="1" customWidth="1"/>
    <col min="4" max="7" width="13.33203125" style="66" customWidth="1"/>
    <col min="8" max="16384" width="11.5" style="66"/>
  </cols>
  <sheetData>
    <row r="1" spans="1:8" ht="25.5" customHeight="1" thickBot="1" x14ac:dyDescent="0.2">
      <c r="A1" s="1511" t="s">
        <v>623</v>
      </c>
      <c r="B1" s="1146"/>
      <c r="C1" s="1146"/>
      <c r="D1" s="1147" t="s">
        <v>51</v>
      </c>
      <c r="E1" s="1148" t="str">
        <f>IF(Etatsfin!D2="","",Etatsfin!D2)</f>
        <v>MERIPLAST</v>
      </c>
      <c r="F1" s="1149"/>
      <c r="G1" s="1150"/>
      <c r="H1" s="70"/>
    </row>
    <row r="2" spans="1:8" ht="27" customHeight="1" thickBot="1" x14ac:dyDescent="0.2">
      <c r="A2" s="71">
        <f ca="1">TODAY()</f>
        <v>46304</v>
      </c>
      <c r="B2" s="72"/>
      <c r="C2" s="72"/>
      <c r="D2" s="67" t="s">
        <v>52</v>
      </c>
      <c r="E2" s="68" t="str">
        <f>IF(Etatsfin!D3="","",Etatsfin!D3)</f>
        <v>SARL</v>
      </c>
      <c r="F2" s="69"/>
      <c r="G2" s="73"/>
      <c r="H2" s="70"/>
    </row>
    <row r="3" spans="1:8" ht="15" customHeight="1" thickBot="1" x14ac:dyDescent="0.2">
      <c r="A3" s="74" t="str">
        <f>IF(OR(Etatsfin!D1="",Etatsfin!D1="A saisir ici"),CONCATENATE(" Unité de compte : ",Etatsfin!P1),CONCATENATE(" Unité de compte : ",Etatsfin!D1))</f>
        <v xml:space="preserve"> Unité de compte : 000' DZD</v>
      </c>
      <c r="B3" s="75"/>
      <c r="C3" s="75"/>
      <c r="D3" s="76">
        <f>Etatsfin!D5</f>
        <v>39417</v>
      </c>
      <c r="E3" s="77">
        <f>Etatsfin!E5</f>
        <v>39783</v>
      </c>
      <c r="F3" s="77">
        <f>Etatsfin!F5</f>
        <v>40178</v>
      </c>
      <c r="G3" s="78">
        <f>Etatsfin!G5</f>
        <v>40543</v>
      </c>
    </row>
    <row r="4" spans="1:8" ht="21" customHeight="1" x14ac:dyDescent="0.15">
      <c r="A4" s="79" t="s">
        <v>53</v>
      </c>
      <c r="B4" s="80"/>
      <c r="C4" s="80"/>
      <c r="D4" s="81"/>
      <c r="E4" s="81"/>
      <c r="F4" s="81"/>
      <c r="G4" s="82"/>
    </row>
    <row r="5" spans="1:8" ht="13" customHeight="1" x14ac:dyDescent="0.15">
      <c r="A5" s="83" t="str">
        <f>CONCATENATE(" Rappel du Chiffre d'Affaires (en ",Etatsfin!O1,")")</f>
        <v xml:space="preserve"> Rappel du Chiffre d'Affaires (en 000' DZD)</v>
      </c>
      <c r="B5" s="80"/>
      <c r="C5" s="80"/>
      <c r="D5" s="84">
        <f>Saisie!E120</f>
        <v>416226.91200000001</v>
      </c>
      <c r="E5" s="84">
        <f>Saisie!F120</f>
        <v>717966.67356999998</v>
      </c>
      <c r="F5" s="84">
        <f>Saisie!G120</f>
        <v>907795.82200000004</v>
      </c>
      <c r="G5" s="85">
        <f>Saisie!H120</f>
        <v>1616204.6810000001</v>
      </c>
    </row>
    <row r="6" spans="1:8" ht="13" customHeight="1" x14ac:dyDescent="0.15">
      <c r="A6" s="83" t="s">
        <v>54</v>
      </c>
      <c r="B6" s="80"/>
      <c r="C6" s="80"/>
      <c r="D6" s="86" t="str">
        <f>IF(OR(Saisie!D120=0,Saisie!E120=0,Etatsfin!D6=0),"n/d ",((Saisie!E120/Saisie!D120)*(1/Etatsfin!D6))-1)</f>
        <v xml:space="preserve">n/d </v>
      </c>
      <c r="E6" s="86">
        <f>IF(OR(Saisie!E120=0,Saisie!F120=0,Etatsfin!E6=0),"n/d ",((Saisie!F120/Saisie!E120)*(1/Etatsfin!E6))-1)</f>
        <v>0.72022758584130142</v>
      </c>
      <c r="F6" s="86">
        <f>IF(OR(Saisie!F120=0,Saisie!G120=0,Etatsfin!F6=0),"n/d ",((Saisie!G120/Saisie!F120)*(1/Etatsfin!F6))-1)</f>
        <v>0.16836802424594977</v>
      </c>
      <c r="G6" s="1230">
        <f>IF(OR(Saisie!G120=0,Saisie!H120=0,Etatsfin!G6=0),"n/d ",((Saisie!H120/Saisie!G120)*(1/Etatsfin!G6))-1)</f>
        <v>0.78036144453636846</v>
      </c>
    </row>
    <row r="7" spans="1:8" ht="13" customHeight="1" x14ac:dyDescent="0.15">
      <c r="A7" s="83" t="s">
        <v>825</v>
      </c>
      <c r="B7" s="80"/>
      <c r="C7" s="80"/>
      <c r="D7" s="1129">
        <f>IF(Saisie!E120=0,"n/d ",Saisie!E121/Saisie!E120)</f>
        <v>0</v>
      </c>
      <c r="E7" s="86">
        <f>IF(Saisie!F120=0,"n/d ",Saisie!F121/Saisie!F120)</f>
        <v>0</v>
      </c>
      <c r="F7" s="86">
        <f>IF(Saisie!G120=0,"n/d ",Saisie!G121/Saisie!G120)</f>
        <v>0</v>
      </c>
      <c r="G7" s="87">
        <f>IF(Saisie!H120=0,"n/d ",Saisie!H121/Saisie!H120)</f>
        <v>0</v>
      </c>
    </row>
    <row r="8" spans="1:8" ht="13" customHeight="1" x14ac:dyDescent="0.15">
      <c r="A8" s="1151"/>
      <c r="D8" s="1134"/>
      <c r="E8" s="1134"/>
      <c r="F8" s="1134"/>
      <c r="G8" s="1135"/>
    </row>
    <row r="9" spans="1:8" s="95" customFormat="1" ht="13" customHeight="1" x14ac:dyDescent="0.15">
      <c r="A9" s="91" t="s">
        <v>56</v>
      </c>
      <c r="B9" s="92"/>
      <c r="C9" s="92"/>
      <c r="D9" s="86">
        <f>IF(D5=0,"n/d",Saisie!E133/D5)</f>
        <v>0.1225164075887529</v>
      </c>
      <c r="E9" s="86">
        <f>IF(E5=0,"n/d",Saisie!F133/E5)</f>
        <v>0.10949734762631035</v>
      </c>
      <c r="F9" s="86">
        <f>IF(F5=0,"n/d",Saisie!G133/F5)</f>
        <v>0.17789394716998388</v>
      </c>
      <c r="G9" s="87">
        <f>IF(G5=0,"n/d",Saisie!H133/G5)</f>
        <v>0.14723784357112629</v>
      </c>
    </row>
    <row r="10" spans="1:8" ht="12.75" customHeight="1" x14ac:dyDescent="0.15">
      <c r="A10" s="1136" t="s">
        <v>59</v>
      </c>
      <c r="B10" s="1137"/>
      <c r="C10" s="1137"/>
      <c r="D10" s="1138">
        <f>IF(D5=0,"n/d",Saisie!E148/D5)</f>
        <v>7.168898295552785E-2</v>
      </c>
      <c r="E10" s="1138">
        <f>IF(E5=0,"n/d",Saisie!F148/E5)</f>
        <v>6.2834775360365705E-2</v>
      </c>
      <c r="F10" s="1138">
        <f>IF(F5=0,"n/d",Saisie!G148/F5)</f>
        <v>9.4057213010614746E-2</v>
      </c>
      <c r="G10" s="1139">
        <f>IF(G5=0,"n/d",Saisie!H148/G5)</f>
        <v>7.0562815675943497E-2</v>
      </c>
    </row>
    <row r="11" spans="1:8" s="96" customFormat="1" ht="13.5" customHeight="1" x14ac:dyDescent="0.15">
      <c r="A11" s="1136" t="s">
        <v>830</v>
      </c>
      <c r="B11" s="1137"/>
      <c r="C11" s="1137"/>
      <c r="D11" s="1140">
        <f>IF(D5=0,"n/d ", Saisie!E155/D5)</f>
        <v>4.4328051522050528E-2</v>
      </c>
      <c r="E11" s="1138">
        <f>IF(E5=0,"n/d ", Saisie!F155/E5)</f>
        <v>3.5864891223937045E-2</v>
      </c>
      <c r="F11" s="1138">
        <f>IF(F5=0,"n/d ", Saisie!G155/F5)</f>
        <v>7.1057442033479759E-2</v>
      </c>
      <c r="G11" s="1139">
        <f>IF(G5=0,"n/d ", Saisie!H155/G5)</f>
        <v>5.4379600574860638E-2</v>
      </c>
    </row>
    <row r="12" spans="1:8" ht="13" customHeight="1" x14ac:dyDescent="0.15">
      <c r="A12" s="91" t="s">
        <v>55</v>
      </c>
      <c r="B12" s="92"/>
      <c r="C12" s="92"/>
      <c r="D12" s="93">
        <f>IF(D5=0,"n/d ",Saisie!E126/D5)</f>
        <v>0.87748359241124707</v>
      </c>
      <c r="E12" s="93">
        <f>IF(E5=0,"n/d ",Saisie!F126/E5)</f>
        <v>0.89050265237368964</v>
      </c>
      <c r="F12" s="93">
        <f>IF(F5=0,"n/d ",Saisie!G126/F5)</f>
        <v>0.84354745906728779</v>
      </c>
      <c r="G12" s="94">
        <f>IF(G5=0,"n/d ",Saisie!H126/G5)</f>
        <v>0.85328948320252995</v>
      </c>
    </row>
    <row r="13" spans="1:8" ht="13" customHeight="1" x14ac:dyDescent="0.15">
      <c r="A13" s="91" t="s">
        <v>57</v>
      </c>
      <c r="B13" s="92"/>
      <c r="C13" s="92"/>
      <c r="D13" s="93">
        <f>IF(D5=0,"n/d ",Saisie!E134/D5)</f>
        <v>1.5665049068235164E-2</v>
      </c>
      <c r="E13" s="93">
        <f>IF(E5=0,"n/d ",Saisie!F134/E5)</f>
        <v>1.7645080205473975E-2</v>
      </c>
      <c r="F13" s="93">
        <f>IF(F5=0,"n/d ",Saisie!G134/F5)</f>
        <v>3.6177278198577127E-2</v>
      </c>
      <c r="G13" s="94">
        <f>IF(G5=0,"n/d ",Saisie!H134/G5)</f>
        <v>3.3419006661075251E-2</v>
      </c>
    </row>
    <row r="14" spans="1:8" ht="13" customHeight="1" x14ac:dyDescent="0.15">
      <c r="A14" s="91" t="s">
        <v>58</v>
      </c>
      <c r="B14" s="92"/>
      <c r="C14" s="92"/>
      <c r="D14" s="93">
        <f>IF(D5=0,"n/d ",Saisie!E140/D5)</f>
        <v>3.5162375564989898E-2</v>
      </c>
      <c r="E14" s="93">
        <f>IF(E5=0,"n/d ",Saisie!F140/E5)</f>
        <v>2.9017492060470655E-2</v>
      </c>
      <c r="F14" s="93">
        <f>IF(F5=0,"n/d ",Saisie!G140/F5)</f>
        <v>4.7659455960792026E-2</v>
      </c>
      <c r="G14" s="94">
        <f>IF(G5=0,"n/d ",Saisie!H140/G5)</f>
        <v>4.3256021234107538E-2</v>
      </c>
    </row>
    <row r="15" spans="1:8" ht="21" customHeight="1" x14ac:dyDescent="0.15">
      <c r="A15" s="1130" t="s">
        <v>60</v>
      </c>
      <c r="B15" s="1131"/>
      <c r="C15" s="1131"/>
      <c r="D15" s="1132"/>
      <c r="E15" s="1132"/>
      <c r="F15" s="1132"/>
      <c r="G15" s="1133"/>
    </row>
    <row r="16" spans="1:8" s="95" customFormat="1" ht="13" customHeight="1" x14ac:dyDescent="0.15">
      <c r="A16" s="91" t="s">
        <v>61</v>
      </c>
      <c r="B16" s="92"/>
      <c r="C16" s="92"/>
      <c r="D16" s="86">
        <f>IF(D5=0,"n/d",Saisie!E183/D5)</f>
        <v>2.1623920127490436E-2</v>
      </c>
      <c r="E16" s="86">
        <f>IF(E5=0,"n/d",Saisie!F183/E5)</f>
        <v>2.5604289623350689E-2</v>
      </c>
      <c r="F16" s="86">
        <f>IF(F5=0,"n/d",Saisie!G183/F5)</f>
        <v>2.353869425373948E-2</v>
      </c>
      <c r="G16" s="87">
        <f>IF(G5=0,"n/d",Saisie!H183/G5)</f>
        <v>1.7180167417173847E-2</v>
      </c>
    </row>
    <row r="17" spans="1:7" s="95" customFormat="1" ht="13" customHeight="1" x14ac:dyDescent="0.15">
      <c r="A17" s="97" t="s">
        <v>62</v>
      </c>
      <c r="B17" s="92"/>
      <c r="C17" s="92"/>
      <c r="D17" s="86">
        <f>IF(OR(Etatsfin!J8=0,Etatsfin!D6=0),"n/d",Etatsfin!D73/Etatsfin!D6/Etatsfin!J8)</f>
        <v>3.505345300994276E-2</v>
      </c>
      <c r="E17" s="86">
        <f>IF(OR(Etatsfin!K8=0,Etatsfin!E6=0),"n/d",Etatsfin!E73/Etatsfin!E6/Etatsfin!K8)</f>
        <v>0.17381836780293078</v>
      </c>
      <c r="F17" s="86">
        <f>IF(OR(Etatsfin!L8=0,Etatsfin!F6=0),"n/d",Etatsfin!F73/Etatsfin!F6/Etatsfin!L8)</f>
        <v>0.1557034570888928</v>
      </c>
      <c r="G17" s="87">
        <f>IF(OR(Etatsfin!M8=0,Etatsfin!G6=0),"n/d",Etatsfin!G73/Etatsfin!G6/Etatsfin!M8)</f>
        <v>0.17680814057951025</v>
      </c>
    </row>
    <row r="18" spans="1:7" ht="13" customHeight="1" x14ac:dyDescent="0.15">
      <c r="A18" s="97" t="s">
        <v>63</v>
      </c>
      <c r="B18" s="92"/>
      <c r="C18" s="92"/>
      <c r="D18" s="86">
        <f>IF(OR(Etatsfin!D31=0,Etatsfin!D6=0),"n/d ",(Etatsfin!D73/Etatsfin!D6)/Etatsfin!D31)</f>
        <v>7.9374144985486297E-3</v>
      </c>
      <c r="E18" s="86">
        <f>IF(OR(Etatsfin!E31=0,Etatsfin!E6=0),"n/d ",(Etatsfin!E73/Etatsfin!E6)/Etatsfin!E31)</f>
        <v>2.8374982000478787E-2</v>
      </c>
      <c r="F18" s="86">
        <f>IF(OR(Etatsfin!F31=0,Etatsfin!F6=0),"n/d ",(Etatsfin!F73/Etatsfin!F6)/Etatsfin!F31)</f>
        <v>2.5387160138827691E-2</v>
      </c>
      <c r="G18" s="87">
        <f>IF(OR(Etatsfin!G31=0,Etatsfin!G6=0),"n/d ",(Etatsfin!G73/Etatsfin!G6)/Etatsfin!G31)</f>
        <v>2.5046891591653374E-2</v>
      </c>
    </row>
    <row r="19" spans="1:7" s="95" customFormat="1" ht="13" customHeight="1" x14ac:dyDescent="0.15">
      <c r="A19" s="97" t="s">
        <v>828</v>
      </c>
      <c r="B19" s="92"/>
      <c r="C19" s="92"/>
      <c r="D19" s="84">
        <f>IF(OR(Etatsfin!D31=0,Etatsfin!D6=0),"n/d ",(D5/Etatsfin!D6)/Etatsfin!D31)</f>
        <v>0.36706639923525308</v>
      </c>
      <c r="E19" s="84">
        <f>IF(OR(Etatsfin!E31=0,Etatsfin!E6=0),"n/d ",(E5/Etatsfin!E6)/Etatsfin!E31)</f>
        <v>1.1082120386031438</v>
      </c>
      <c r="F19" s="84">
        <f>IF(OR(Etatsfin!F31=0,Etatsfin!F6=0),"n/d ",(F5/Etatsfin!F6)/Etatsfin!F31)</f>
        <v>1.0785288200425371</v>
      </c>
      <c r="G19" s="85">
        <f>IF(OR(Etatsfin!G31=0,Etatsfin!G6=0),"n/d ",(G5/Etatsfin!G6)/Etatsfin!G31)</f>
        <v>1.4578956644284906</v>
      </c>
    </row>
    <row r="20" spans="1:7" s="95" customFormat="1" ht="13" customHeight="1" x14ac:dyDescent="0.15">
      <c r="A20" s="91" t="s">
        <v>829</v>
      </c>
      <c r="B20" s="92"/>
      <c r="C20" s="92"/>
      <c r="D20" s="109">
        <f>IF(OR(Etatsfin!J8=0,Etatsfin!D6=0),"n/d",Etatsfin!D31/Etatsfin!D6/Etatsfin!J8)</f>
        <v>1.472076875761511</v>
      </c>
      <c r="E20" s="109">
        <f>IF(OR(Etatsfin!K8=0,Etatsfin!E6=0),"n/d",Etatsfin!E31/Etatsfin!E6/Etatsfin!K8)</f>
        <v>6.1090242886065544</v>
      </c>
      <c r="F20" s="109">
        <f>IF(OR(Etatsfin!L8=0,Etatsfin!F6=0),"n/d",Etatsfin!F31/Etatsfin!F6/Etatsfin!L8)</f>
        <v>5.6673482690737496</v>
      </c>
      <c r="G20" s="110">
        <f>IF(OR(Etatsfin!M8=0,Etatsfin!G6=0),"n/d",Etatsfin!G31/Etatsfin!G6/Etatsfin!M8)</f>
        <v>7.059085153641572</v>
      </c>
    </row>
    <row r="21" spans="1:7" s="102" customFormat="1" ht="21" customHeight="1" x14ac:dyDescent="0.15">
      <c r="A21" s="98" t="s">
        <v>64</v>
      </c>
      <c r="B21" s="99"/>
      <c r="C21" s="99"/>
      <c r="D21" s="100" t="str">
        <f>IF(Etatsfin!J68=0,"n/d ",(Etatsfin!J68/Etatsfin!J12))</f>
        <v xml:space="preserve">n/d </v>
      </c>
      <c r="E21" s="100" t="str">
        <f>IF(Etatsfin!K68=0,"n/d ",(Etatsfin!K68/Etatsfin!K12))</f>
        <v xml:space="preserve">n/d </v>
      </c>
      <c r="F21" s="1232" t="str">
        <f>IF(Etatsfin!L68=0,"n/d ",(Etatsfin!L68/Etatsfin!L12))</f>
        <v xml:space="preserve">n/d </v>
      </c>
      <c r="G21" s="1233" t="str">
        <f>IF(Etatsfin!M68=0,"n/d ",(Etatsfin!M68/Etatsfin!M12))</f>
        <v xml:space="preserve">n/d </v>
      </c>
    </row>
    <row r="22" spans="1:7" s="65" customFormat="1" ht="21" customHeight="1" x14ac:dyDescent="0.15">
      <c r="A22" s="1152" t="s">
        <v>65</v>
      </c>
      <c r="B22" s="103"/>
      <c r="C22" s="103"/>
      <c r="D22" s="103"/>
      <c r="E22" s="103"/>
      <c r="F22" s="103"/>
      <c r="G22" s="104"/>
    </row>
    <row r="23" spans="1:7" s="95" customFormat="1" ht="13" customHeight="1" x14ac:dyDescent="0.15">
      <c r="A23" s="114" t="s">
        <v>66</v>
      </c>
      <c r="B23" s="103"/>
      <c r="C23" s="103"/>
      <c r="D23" s="86">
        <f>IF(D5=0,"n/d",(Saisie!E156-Saisie!E161+Saisie!E158/3)/D5)</f>
        <v>1.2855386919334999E-2</v>
      </c>
      <c r="E23" s="86">
        <f>IF(E5=0,"n/d",(Saisie!F156-Saisie!F161+Saisie!F158/3)/E5)</f>
        <v>9.9385176118544517E-3</v>
      </c>
      <c r="F23" s="86">
        <f>IF(F5=0,"n/d",(Saisie!G156-Saisie!G161+Saisie!G158/3)/F5)</f>
        <v>2.5691839252960709E-2</v>
      </c>
      <c r="G23" s="87">
        <f>IF(G5=0,"n/d",(Saisie!H156-Saisie!H161+Saisie!H158/3)/G5)</f>
        <v>3.2874261301560972E-2</v>
      </c>
    </row>
    <row r="24" spans="1:7" s="95" customFormat="1" ht="13" customHeight="1" x14ac:dyDescent="0.15">
      <c r="A24" s="114" t="s">
        <v>67</v>
      </c>
      <c r="B24" s="103"/>
      <c r="C24" s="103"/>
      <c r="D24" s="1199">
        <f>IF((Saisie!E156+Saisie!E158/3-Saisie!E161=0),"n/d",Saisie!E148/(Saisie!E156+Saisie!E158/3-Saisie!E161))</f>
        <v>5.5765713941837758</v>
      </c>
      <c r="E24" s="1199">
        <f>IF((Saisie!F156+Saisie!F158/3-Saisie!F161=0),"n/d",Saisie!F148/(Saisie!F156+Saisie!F158/3-Saisie!F161))</f>
        <v>6.3223488466144824</v>
      </c>
      <c r="F24" s="1199">
        <f>IF((Saisie!G156+Saisie!G158/3-Saisie!G161=0),"n/d",Saisie!G148/(Saisie!G156+Saisie!G158/3-Saisie!G161))</f>
        <v>3.6609762378057717</v>
      </c>
      <c r="G24" s="1200">
        <f>IF((Saisie!H156+Saisie!H158/3-Saisie!H161=0),"n/d",Saisie!H148/(Saisie!H156+Saisie!H158/3-Saisie!H161))</f>
        <v>2.1464456654602593</v>
      </c>
    </row>
    <row r="25" spans="1:7" ht="13" customHeight="1" x14ac:dyDescent="0.15">
      <c r="A25" s="105" t="s">
        <v>71</v>
      </c>
      <c r="B25" s="103"/>
      <c r="C25" s="103"/>
      <c r="D25" s="1199">
        <f>IF(Etatsfin!J43=0,"n/d ",(Etatsfin!D56-Etatsfin!J56)/Etatsfin!J43)</f>
        <v>-8.5331588533811473</v>
      </c>
      <c r="E25" s="1199">
        <f>IF(Etatsfin!K43=0,"n/d ",(Etatsfin!E56-Etatsfin!K56)/Etatsfin!K43)</f>
        <v>-2.2872787459575754</v>
      </c>
      <c r="F25" s="1199">
        <f>IF(Etatsfin!L43=0,"n/d ",(Etatsfin!F56-Etatsfin!L56)/Etatsfin!L43)</f>
        <v>3.1401558899803339</v>
      </c>
      <c r="G25" s="1231">
        <f>IF(Etatsfin!M43=0,"n/d ",(Etatsfin!G56-Etatsfin!M56)/Etatsfin!M43)</f>
        <v>1.6466191500019716</v>
      </c>
    </row>
    <row r="26" spans="1:7" s="107" customFormat="1" ht="13" customHeight="1" x14ac:dyDescent="0.15">
      <c r="A26" s="105"/>
      <c r="D26" s="106"/>
      <c r="E26" s="106"/>
      <c r="F26" s="106"/>
      <c r="G26" s="1234"/>
    </row>
    <row r="27" spans="1:7" ht="13" customHeight="1" x14ac:dyDescent="0.15">
      <c r="A27" s="97" t="s">
        <v>79</v>
      </c>
      <c r="B27" s="92"/>
      <c r="C27" s="92"/>
      <c r="D27" s="1201" t="str">
        <f>IF(OR(Etatsfin!D63+Saisie!D192+Etatsfin!D64=0,Saisie!E192=0,Etatsfin!D6&gt;1.003,Etatsfin!D6&lt;1),"n/d ",Etatsfin!D56/(Etatsfin!D63+Saisie!E192+Etatsfin!D64))</f>
        <v xml:space="preserve">n/d </v>
      </c>
      <c r="E27" s="1201" t="str">
        <f>IF(OR(Etatsfin!E63+Saisie!E192+Etatsfin!E64=0,Saisie!F192=0,Etatsfin!E6&gt;1.003,Etatsfin!E6&lt;1),"n/d ",Etatsfin!E56/(Etatsfin!E63+Saisie!F192+Etatsfin!E64))</f>
        <v xml:space="preserve">n/d </v>
      </c>
      <c r="F27" s="1201" t="str">
        <f>IF(OR(Etatsfin!F63+Saisie!F192+Etatsfin!F64=0,Saisie!G192=0,Etatsfin!F6&gt;1.003,Etatsfin!F6&lt;1),"n/d ",Etatsfin!F56/(Etatsfin!F63+Saisie!G192+Etatsfin!F64))</f>
        <v xml:space="preserve">n/d </v>
      </c>
      <c r="G27" s="1235" t="str">
        <f>IF(OR(Etatsfin!G63+Saisie!G192+Etatsfin!G64=0,Saisie!H192=0,Etatsfin!G6&gt;1.003,Etatsfin!G6&lt;1),"n/d ",Etatsfin!G56/(Etatsfin!G63+Saisie!H192+Etatsfin!G64))</f>
        <v xml:space="preserve">n/d </v>
      </c>
    </row>
    <row r="28" spans="1:7" ht="13" customHeight="1" x14ac:dyDescent="0.15">
      <c r="A28" s="105" t="s">
        <v>80</v>
      </c>
      <c r="B28" s="103"/>
      <c r="C28" s="103"/>
      <c r="D28" s="1201" t="str">
        <f>IF(OR(Etatsfin!D63+Saisie!D192+Etatsfin!D64=0,Saisie!E192=0,Etatsfin!D6&gt;1.003,Etatsfin!D6&lt;1),"n/d ",(Etatsfin!D56-Etatsfin!J56)/(Etatsfin!D63+Saisie!E192+Etatsfin!D64))</f>
        <v xml:space="preserve">n/d </v>
      </c>
      <c r="E28" s="1201" t="str">
        <f>IF(OR(Etatsfin!E63+Saisie!E192+Etatsfin!E64=0,Saisie!F192=0,Etatsfin!E6&gt;1.003,Etatsfin!E6&lt;1),"n/d ",(Etatsfin!E56-Etatsfin!K56)/(Etatsfin!E63+Saisie!F192+Etatsfin!E64))</f>
        <v xml:space="preserve">n/d </v>
      </c>
      <c r="F28" s="1201" t="str">
        <f>IF(OR(Etatsfin!F63+Saisie!F192+Etatsfin!F64=0,Saisie!G192=0,Etatsfin!F6&gt;1.003,Etatsfin!F6&lt;1),"n/d ",(Etatsfin!F56-Etatsfin!L56)/(Etatsfin!F63+Saisie!G192+Etatsfin!F64))</f>
        <v xml:space="preserve">n/d </v>
      </c>
      <c r="G28" s="1235" t="str">
        <f>IF(OR(Etatsfin!G63+Saisie!G192+Etatsfin!G64=0,Saisie!H192=0,Etatsfin!G6&gt;1.003,Etatsfin!G6&lt;1),"n/d ",(Etatsfin!G56-Etatsfin!M56)/(Etatsfin!G63+Saisie!H192+Etatsfin!G64))</f>
        <v xml:space="preserve">n/d </v>
      </c>
    </row>
    <row r="29" spans="1:7" ht="13" customHeight="1" x14ac:dyDescent="0.15">
      <c r="A29" s="105" t="s">
        <v>81</v>
      </c>
      <c r="B29" s="103"/>
      <c r="C29" s="103"/>
      <c r="D29" s="1201" t="str">
        <f>IF(OR(Etatsfin!D63+Saisie!D192+Etatsfin!D64=0,Saisie!E192=0,Etatsfin!D6&gt;1.003,Etatsfin!D6&lt;1),"n/d ",(Etatsfin!J54+(Etatsfin!D63+(Etatsfin!D64/3))-Etatsfin!J56)/(Etatsfin!D63+Saisie!E192+Etatsfin!D64))</f>
        <v xml:space="preserve">n/d </v>
      </c>
      <c r="E29" s="1201" t="str">
        <f>IF(OR(Etatsfin!E63+Saisie!E192+Etatsfin!E64=0,Saisie!F192=0,Etatsfin!E6&gt;1.003,Etatsfin!E6&lt;1),"n/d ",(Etatsfin!K54+(Etatsfin!E63+(Etatsfin!E64/3))-Etatsfin!K56)/(Etatsfin!E63+Saisie!F192+Etatsfin!E64))</f>
        <v xml:space="preserve">n/d </v>
      </c>
      <c r="F29" s="1201" t="str">
        <f>IF(OR(Etatsfin!F63+Saisie!F192+Etatsfin!F64=0,Saisie!G192=0,Etatsfin!F6&gt;1.003,Etatsfin!F6&lt;1),"n/d ",(Etatsfin!L54+(Etatsfin!F63+(Etatsfin!F64/3))-Etatsfin!L56)/(Etatsfin!F63+Saisie!G192+Etatsfin!F64))</f>
        <v xml:space="preserve">n/d </v>
      </c>
      <c r="G29" s="1235" t="str">
        <f>IF(OR(Etatsfin!G63+Saisie!G192+Etatsfin!G64=0,Saisie!H192=0,Etatsfin!G6&gt;1.003,Etatsfin!G6&lt;1),"n/d ",(Etatsfin!M54+(Etatsfin!G63+(Etatsfin!G64/3))-Etatsfin!M56)/(Etatsfin!G63+Saisie!H192+Etatsfin!G64))</f>
        <v xml:space="preserve">n/d </v>
      </c>
    </row>
    <row r="30" spans="1:7" s="90" customFormat="1" ht="13" customHeight="1" x14ac:dyDescent="0.15">
      <c r="A30" s="105"/>
      <c r="B30" s="106"/>
      <c r="C30" s="106"/>
      <c r="D30" s="88"/>
      <c r="E30" s="88"/>
      <c r="F30" s="88"/>
      <c r="G30" s="89"/>
    </row>
    <row r="31" spans="1:7" ht="13" customHeight="1" x14ac:dyDescent="0.15">
      <c r="A31" s="91" t="str">
        <f>CONCATENATE(" Dettes financières totales (en ",Etatsfin!O1,")")</f>
        <v xml:space="preserve"> Dettes financières totales (en 000' DZD)</v>
      </c>
      <c r="B31" s="92"/>
      <c r="C31" s="92"/>
      <c r="D31" s="1197">
        <f>Etatsfin!J17+Etatsfin!J29+Etatsfin!J34+(2*Etatsfin!J35/3)</f>
        <v>135768.57200000001</v>
      </c>
      <c r="E31" s="1197">
        <f>Etatsfin!K17+Etatsfin!K29+Etatsfin!K34+(2*Etatsfin!K35/3)</f>
        <v>318123.70166999998</v>
      </c>
      <c r="F31" s="1197">
        <f>Etatsfin!L17+Etatsfin!L29+Etatsfin!L34+(2*Etatsfin!L35/3)</f>
        <v>301703.25600000005</v>
      </c>
      <c r="G31" s="1198">
        <f>Etatsfin!M17+Etatsfin!M29+Etatsfin!M34+(2*Etatsfin!M35/3)</f>
        <v>583688.85399999993</v>
      </c>
    </row>
    <row r="32" spans="1:7" ht="13" customHeight="1" x14ac:dyDescent="0.15">
      <c r="A32" s="91" t="str">
        <f>CONCATENATE(" Dettes financières totales nettes (en ",Etatsfin!O1,")")</f>
        <v xml:space="preserve"> Dettes financières totales nettes (en 000' DZD)</v>
      </c>
      <c r="B32" s="92"/>
      <c r="C32" s="92"/>
      <c r="D32" s="1197">
        <f>D31-Etatsfin!D27-Etatsfin!D28</f>
        <v>105364.63100000002</v>
      </c>
      <c r="E32" s="1197">
        <f>E31-Etatsfin!E27-Etatsfin!E28</f>
        <v>191703.74063999997</v>
      </c>
      <c r="F32" s="1197">
        <f>F31-Etatsfin!F27-Etatsfin!F28</f>
        <v>278975.20200000005</v>
      </c>
      <c r="G32" s="1198">
        <f>G31-Etatsfin!G27-Etatsfin!G28</f>
        <v>479069.15499999991</v>
      </c>
    </row>
    <row r="33" spans="1:7" ht="13" customHeight="1" x14ac:dyDescent="0.15">
      <c r="A33" s="91" t="s">
        <v>832</v>
      </c>
      <c r="B33" s="92"/>
      <c r="C33" s="92"/>
      <c r="D33" s="1197">
        <f>Saisie!E113+Saisie!E192</f>
        <v>36801.173000000003</v>
      </c>
      <c r="E33" s="1197">
        <f>Saisie!F113+Saisie!F192</f>
        <v>188896.5583</v>
      </c>
      <c r="F33" s="1197">
        <f>Saisie!G113+Saisie!G192</f>
        <v>167884.05300000001</v>
      </c>
      <c r="G33" s="1198">
        <f>Saisie!H113+Saisie!H192</f>
        <v>451915.45899999997</v>
      </c>
    </row>
    <row r="34" spans="1:7" ht="13" customHeight="1" x14ac:dyDescent="0.15">
      <c r="A34" s="91" t="s">
        <v>621</v>
      </c>
      <c r="B34" s="92"/>
      <c r="C34" s="92"/>
      <c r="D34" s="1197">
        <f>Saisie!E86-Saisie!E90+2/3*(Saisie!E116)+Saisie!E115</f>
        <v>45584</v>
      </c>
      <c r="E34" s="1197">
        <f>Saisie!F86-Saisie!F90+2/3*(Saisie!F116)+Saisie!F115</f>
        <v>50953.40238</v>
      </c>
      <c r="F34" s="1197">
        <f>Saisie!G86-Saisie!G90+2/3*(Saisie!G116)+Saisie!G115</f>
        <v>61088.813999999998</v>
      </c>
      <c r="G34" s="1198">
        <f>Saisie!H86-Saisie!H90+2/3*(Saisie!H116)+Saisie!H115</f>
        <v>59043.006000000001</v>
      </c>
    </row>
    <row r="35" spans="1:7" s="90" customFormat="1" ht="13" customHeight="1" x14ac:dyDescent="0.15">
      <c r="A35" s="97"/>
      <c r="B35" s="111"/>
      <c r="C35" s="111"/>
      <c r="D35" s="112"/>
      <c r="E35" s="112"/>
      <c r="F35" s="112"/>
      <c r="G35" s="113"/>
    </row>
    <row r="36" spans="1:7" s="95" customFormat="1" ht="13" customHeight="1" x14ac:dyDescent="0.15">
      <c r="A36" s="114" t="s">
        <v>87</v>
      </c>
      <c r="B36" s="103"/>
      <c r="C36" s="103"/>
      <c r="D36" s="86">
        <f>IF(Etatsfin!J8=0,"n/d",D31/Etatsfin!J8)</f>
        <v>1.5863051157662937</v>
      </c>
      <c r="E36" s="86">
        <f>IF(Etatsfin!K8=0,"n/d",E31/Etatsfin!K8)</f>
        <v>3.0162191909169009</v>
      </c>
      <c r="F36" s="86">
        <f>IF(Etatsfin!L8=0,"n/d",F31/Etatsfin!L8)</f>
        <v>2.3790958320607047</v>
      </c>
      <c r="G36" s="87">
        <f>IF(Etatsfin!M8=0,"n/d",G31/Etatsfin!M8)</f>
        <v>3.7167205179046161</v>
      </c>
    </row>
    <row r="37" spans="1:7" ht="13" customHeight="1" x14ac:dyDescent="0.15">
      <c r="A37" s="114" t="s">
        <v>88</v>
      </c>
      <c r="B37" s="103"/>
      <c r="C37" s="103"/>
      <c r="D37" s="86">
        <f>IF(Etatsfin!J8=0,"n/d",D32/Etatsfin!J8)</f>
        <v>1.2310688012254254</v>
      </c>
      <c r="E37" s="86">
        <f>IF(Etatsfin!K8=0,"n/d",E32/Etatsfin!K8)</f>
        <v>1.8175964206801889</v>
      </c>
      <c r="F37" s="86">
        <f>IF(Etatsfin!L8=0,"n/d",F32/Etatsfin!L8)</f>
        <v>2.1998726468052872</v>
      </c>
      <c r="G37" s="87">
        <f>IF(Etatsfin!M8=0,"n/d",G32/Etatsfin!M8)</f>
        <v>3.0505399335306249</v>
      </c>
    </row>
    <row r="38" spans="1:7" ht="13" customHeight="1" x14ac:dyDescent="0.15">
      <c r="A38" s="114" t="s">
        <v>89</v>
      </c>
      <c r="B38" s="103"/>
      <c r="C38" s="103"/>
      <c r="D38" s="88">
        <f>IF((Etatsfin!J8-Etatsfin!D15-Etatsfin!D17)=0,"n/d ",D31/(Etatsfin!J8-Etatsfin!D15-Etatsfin!D17))</f>
        <v>1.5863051157662937</v>
      </c>
      <c r="E38" s="88">
        <f>IF((Etatsfin!K8-Etatsfin!E15-Etatsfin!E17)=0,"n/d ",E31/(Etatsfin!K8-Etatsfin!E15-Etatsfin!E17))</f>
        <v>3.0173993039598113</v>
      </c>
      <c r="F38" s="88">
        <f>IF((Etatsfin!L8-Etatsfin!F15-Etatsfin!F17)=0,"n/d ",F31/(Etatsfin!L8-Etatsfin!F15-Etatsfin!F17))</f>
        <v>2.3793685280859109</v>
      </c>
      <c r="G38" s="89">
        <f>IF((Etatsfin!M8-Etatsfin!G15-Etatsfin!G17)=0,"n/d ",G31/(Etatsfin!M8-Etatsfin!G15-Etatsfin!G17))</f>
        <v>3.7266673828576637</v>
      </c>
    </row>
    <row r="39" spans="1:7" ht="13" customHeight="1" x14ac:dyDescent="0.15">
      <c r="A39" s="114" t="s">
        <v>90</v>
      </c>
      <c r="B39" s="103"/>
      <c r="C39" s="103"/>
      <c r="D39" s="88">
        <f>IF((Etatsfin!J8-Etatsfin!D15-Etatsfin!D17)=0,"n/d ",D32/(Etatsfin!J8-Etatsfin!D15-Etatsfin!D17))</f>
        <v>1.2310688012254254</v>
      </c>
      <c r="E39" s="88">
        <f>IF((Etatsfin!K8-Etatsfin!E15-Etatsfin!E17)=0,"n/d ",E32/(Etatsfin!K8-Etatsfin!E15-Etatsfin!E17))</f>
        <v>1.8183075656955281</v>
      </c>
      <c r="F39" s="88">
        <f>IF((Etatsfin!L8-Etatsfin!F15-Etatsfin!F17)=0,"n/d ",F32/(Etatsfin!L8-Etatsfin!F15-Etatsfin!F17))</f>
        <v>2.2001247999630791</v>
      </c>
      <c r="G39" s="89">
        <f>IF((Etatsfin!M8-Etatsfin!G15-Etatsfin!G17)=0,"n/d ",G32/(Etatsfin!M8-Etatsfin!G15-Etatsfin!G17))</f>
        <v>3.0587039341883377</v>
      </c>
    </row>
    <row r="40" spans="1:7" ht="13" customHeight="1" x14ac:dyDescent="0.15">
      <c r="A40" s="91" t="s">
        <v>91</v>
      </c>
      <c r="B40" s="92"/>
      <c r="C40" s="92"/>
      <c r="D40" s="88">
        <f>IF((Etatsfin!J8-Etatsfin!D15-Etatsfin!D17)=0,"n/d ",(D31+Etatsfin!J23-Etatsfin!J29)/(Etatsfin!J8-Etatsfin!D15-Etatsfin!D17))</f>
        <v>3.4162306272845324</v>
      </c>
      <c r="E40" s="88">
        <f>IF((Etatsfin!K8-Etatsfin!E15-Etatsfin!E17)=0,"n/d ",(E31+Etatsfin!K23-Etatsfin!K29)/(Etatsfin!K8-Etatsfin!E15-Etatsfin!E17))</f>
        <v>5.1277667964951412</v>
      </c>
      <c r="F40" s="88">
        <f>IF((Etatsfin!L8-Etatsfin!F15-Etatsfin!F17)=0,"n/d ",(F31+Etatsfin!L23-Etatsfin!L29)/(Etatsfin!L8-Etatsfin!F15-Etatsfin!F17))</f>
        <v>5.2211974889502315</v>
      </c>
      <c r="G40" s="89">
        <f>IF((Etatsfin!M8-Etatsfin!G15-Etatsfin!G17)=0,"n/d ",(G31+Etatsfin!M23-Etatsfin!M29)/(Etatsfin!M8-Etatsfin!G15-Etatsfin!G17))</f>
        <v>6.126378173389381</v>
      </c>
    </row>
    <row r="41" spans="1:7" s="90" customFormat="1" ht="13" customHeight="1" x14ac:dyDescent="0.15">
      <c r="A41" s="97"/>
      <c r="B41" s="111"/>
      <c r="C41" s="111"/>
      <c r="D41" s="112"/>
      <c r="E41" s="112"/>
      <c r="F41" s="112"/>
      <c r="G41" s="113"/>
    </row>
    <row r="42" spans="1:7" s="95" customFormat="1" ht="13" customHeight="1" x14ac:dyDescent="0.15">
      <c r="A42" s="105" t="s">
        <v>624</v>
      </c>
      <c r="B42" s="103"/>
      <c r="C42" s="103"/>
      <c r="D42" s="1202">
        <f>IF(Etatsfin!D56=0,"n/d",Etatsfin!D6*(D31/Etatsfin!D56))</f>
        <v>13.650165870814744</v>
      </c>
      <c r="E42" s="1202">
        <f>IF(Etatsfin!E56=0,"n/d",Etatsfin!E6*(E31/Etatsfin!E56))</f>
        <v>7.0709846698170811</v>
      </c>
      <c r="F42" s="1202">
        <f>IF(Etatsfin!F56=0,"n/d",Etatsfin!F6*(F31/Etatsfin!F56))</f>
        <v>3.8238772498578126</v>
      </c>
      <c r="G42" s="1203">
        <f>IF(Etatsfin!G56=0,"n/d",Etatsfin!G6*(G31/Etatsfin!G56))</f>
        <v>5.1181043680588623</v>
      </c>
    </row>
    <row r="43" spans="1:7" ht="13" customHeight="1" x14ac:dyDescent="0.15">
      <c r="A43" s="105" t="s">
        <v>92</v>
      </c>
      <c r="B43" s="103"/>
      <c r="C43" s="103"/>
      <c r="D43" s="1202">
        <f>IF(Etatsfin!D56=0,"n/d ",Etatsfin!D6*(D32/Etatsfin!D56))</f>
        <v>10.593355066496461</v>
      </c>
      <c r="E43" s="1202">
        <f>IF(Etatsfin!E56=0,"n/d ",Etatsfin!E6*(E32/Etatsfin!E56))</f>
        <v>4.2610286630518619</v>
      </c>
      <c r="F43" s="1202">
        <f>IF(Etatsfin!F56=0,"n/d ",Etatsfin!F6*(F32/Etatsfin!F56))</f>
        <v>3.5358150997292777</v>
      </c>
      <c r="G43" s="1203">
        <f>IF(Etatsfin!G56=0,"n/d ",Etatsfin!G6*(G32/Etatsfin!G56))</f>
        <v>4.2007414018698528</v>
      </c>
    </row>
    <row r="44" spans="1:7" ht="13" customHeight="1" x14ac:dyDescent="0.15">
      <c r="A44" s="105" t="s">
        <v>831</v>
      </c>
      <c r="B44" s="103"/>
      <c r="C44" s="103"/>
      <c r="D44" s="1202" t="str">
        <f>IF(OR(Saisie!D148=0,Etatsfin!D56=0),"n/d ",Etatsfin!D6*(D34/Saisie!E148))</f>
        <v xml:space="preserve">n/d </v>
      </c>
      <c r="E44" s="1202">
        <f>IF(OR(Saisie!E148=0,Etatsfin!E56=0),"n/d ",Etatsfin!E6*(E34/Saisie!F148))</f>
        <v>1.1325491474311538</v>
      </c>
      <c r="F44" s="1202">
        <f>IF(OR(Saisie!F148=0,Etatsfin!F56=0),"n/d ",Etatsfin!F6*(F34/Saisie!G148))</f>
        <v>0.77425788893506464</v>
      </c>
      <c r="G44" s="1236">
        <f>IF(OR(Saisie!G148=0,Etatsfin!G56=0),"n/d ",Etatsfin!G6*(G34/Saisie!H148))</f>
        <v>0.51772149637780418</v>
      </c>
    </row>
    <row r="45" spans="1:7" s="95" customFormat="1" ht="13" customHeight="1" x14ac:dyDescent="0.15">
      <c r="A45" s="105" t="s">
        <v>625</v>
      </c>
      <c r="B45" s="103"/>
      <c r="C45" s="103"/>
      <c r="D45" s="1202" t="str">
        <f>IF(OR(Etatsfin!J54&lt;0,Etatsfin!J54=0),"n/d",Etatsfin!D6*D31/Etatsfin!J54)</f>
        <v>n/d</v>
      </c>
      <c r="E45" s="1202" t="str">
        <f>IF(OR(Etatsfin!K54&lt;0,Etatsfin!K54=0),"n/d",Etatsfin!E6*E31/Etatsfin!K54)</f>
        <v>n/d</v>
      </c>
      <c r="F45" s="1202" t="str">
        <f>IF(OR(Etatsfin!L54&lt;0,Etatsfin!L54=0),"n/d",Etatsfin!F6*F31/Etatsfin!L54)</f>
        <v>n/d</v>
      </c>
      <c r="G45" s="1203" t="str">
        <f>IF(OR(Etatsfin!M54&lt;0,Etatsfin!M54=0),"n/d",Etatsfin!G6*G31/Etatsfin!M54)</f>
        <v>n/d</v>
      </c>
    </row>
    <row r="46" spans="1:7" ht="13" customHeight="1" x14ac:dyDescent="0.15">
      <c r="A46" s="97" t="s">
        <v>93</v>
      </c>
      <c r="B46" s="92"/>
      <c r="C46" s="92"/>
      <c r="D46" s="1141">
        <f>IF(OR((Saisie!E86+Saisie!E96+Saisie!E112+Saisie!E115)+(Etatsfin!J17+Etatsfin!J29+Etatsfin!J34)=0,Etatsfin!D6=0),"n/d ",(Etatsfin!D63/Etatsfin!D6)/((Saisie!E86+Saisie!E96+Saisie!E112+Saisie!E115+Etatsfin!J17+Etatsfin!J29+Etatsfin!J34)/2))</f>
        <v>1.313695779314818E-2</v>
      </c>
      <c r="E46" s="93">
        <f>IF(OR((Saisie!F86+Saisie!F96+Saisie!F112+Saisie!F115)+(Etatsfin!K17+Etatsfin!K29+Etatsfin!K34)=0,Etatsfin!E6=0),"n/d ",(Etatsfin!E63/Etatsfin!E6)/((Saisie!F86+Saisie!F96+Saisie!F112+Saisie!F115+Etatsfin!K17+Etatsfin!K29+Etatsfin!K34)/2))</f>
        <v>2.2368746573286476E-2</v>
      </c>
      <c r="F46" s="93">
        <f>IF(OR((Saisie!G86+Saisie!G96+Saisie!G112+Saisie!G115)+(Etatsfin!L17+Etatsfin!L29+Etatsfin!L34)=0,Etatsfin!F6=0),"n/d ",(Etatsfin!F63/Etatsfin!F6)/((Saisie!G86+Saisie!G96+Saisie!G112+Saisie!G115+Etatsfin!L17+Etatsfin!L29+Etatsfin!L34)/2))</f>
        <v>7.1805569957082913E-2</v>
      </c>
      <c r="G46" s="94">
        <f>IF(OR((Saisie!H86+Saisie!H96+Saisie!H112+Saisie!H115)+(Etatsfin!M17+Etatsfin!M29+Etatsfin!M34)=0,Etatsfin!G6=0),"n/d ",(Etatsfin!G63/Etatsfin!G6)/((Saisie!H86+Saisie!H96+Saisie!H112+Saisie!H115+Etatsfin!M17+Etatsfin!M29+Etatsfin!M34)/2))</f>
        <v>0.1006956389675038</v>
      </c>
    </row>
    <row r="47" spans="1:7" s="107" customFormat="1" ht="13" customHeight="1" x14ac:dyDescent="0.15">
      <c r="A47" s="105"/>
      <c r="D47" s="106"/>
      <c r="E47" s="106"/>
      <c r="F47" s="106"/>
      <c r="G47" s="108"/>
    </row>
    <row r="48" spans="1:7" ht="13" customHeight="1" x14ac:dyDescent="0.15">
      <c r="A48" s="91" t="s">
        <v>94</v>
      </c>
      <c r="B48" s="92"/>
      <c r="C48" s="92"/>
      <c r="D48" s="93">
        <f>IF(Etatsfin!J23=0,"n/d ",Etatsfin!D21/Etatsfin!J23)</f>
        <v>1.3563889581514077</v>
      </c>
      <c r="E48" s="93">
        <f>IF(Etatsfin!K23=0,"n/d ",Etatsfin!E21/Etatsfin!K23)</f>
        <v>1.1871817830246052</v>
      </c>
      <c r="F48" s="93">
        <f>IF(Etatsfin!L23=0,"n/d ",Etatsfin!F21/Etatsfin!L23)</f>
        <v>1.2799196499477237</v>
      </c>
      <c r="G48" s="94">
        <f>IF(Etatsfin!M23=0,"n/d ",Etatsfin!G21/Etatsfin!M23)</f>
        <v>1.2214629725694974</v>
      </c>
    </row>
    <row r="49" spans="1:7" s="102" customFormat="1" ht="21" customHeight="1" x14ac:dyDescent="0.15">
      <c r="A49" s="98" t="s">
        <v>95</v>
      </c>
      <c r="B49" s="99"/>
      <c r="C49" s="99"/>
      <c r="D49" s="115">
        <f>IF(Etatsfin!J23=0,"n/d ",(Etatsfin!D21-Etatsfin!D23)/Etatsfin!J23)</f>
        <v>0.79441557009480646</v>
      </c>
      <c r="E49" s="115">
        <f>IF(Etatsfin!K23=0,"n/d ",(Etatsfin!E21-Etatsfin!E23)/Etatsfin!K23)</f>
        <v>0.54859558662424002</v>
      </c>
      <c r="F49" s="115">
        <f>IF(Etatsfin!L23=0,"n/d ",(Etatsfin!F21-Etatsfin!F23)/Etatsfin!L23)</f>
        <v>0.3792771969936623</v>
      </c>
      <c r="G49" s="116">
        <f>IF(Etatsfin!M23=0,"n/d ",(Etatsfin!G21-Etatsfin!G23)/Etatsfin!M23)</f>
        <v>0.68433068079905801</v>
      </c>
    </row>
    <row r="50" spans="1:7" ht="21" customHeight="1" x14ac:dyDescent="0.15">
      <c r="A50" s="117" t="s">
        <v>96</v>
      </c>
      <c r="B50" s="92"/>
      <c r="C50" s="92"/>
      <c r="D50" s="118"/>
      <c r="E50" s="118"/>
      <c r="F50" s="118"/>
      <c r="G50" s="119"/>
    </row>
    <row r="51" spans="1:7" ht="13" customHeight="1" x14ac:dyDescent="0.15">
      <c r="A51" s="91" t="s">
        <v>515</v>
      </c>
      <c r="B51" s="92"/>
      <c r="C51" s="92"/>
      <c r="D51" s="86">
        <f>IF(Etatsfin!D58=0,"n/d ",Etatsfin!J56/Etatsfin!D58)</f>
        <v>6.6293810976755552</v>
      </c>
      <c r="E51" s="86">
        <f>IF(Etatsfin!E58=0,"n/d ",Etatsfin!K56/Etatsfin!E58)</f>
        <v>3.1726845776363115</v>
      </c>
      <c r="F51" s="86">
        <f>IF(Etatsfin!F58=0,"n/d ",Etatsfin!L56/Etatsfin!F58)</f>
        <v>0.58178112596445686</v>
      </c>
      <c r="G51" s="87">
        <f>IF(Etatsfin!G58=0,"n/d ",Etatsfin!M56/Etatsfin!G58)</f>
        <v>0.93658803277877567</v>
      </c>
    </row>
    <row r="52" spans="1:7" s="102" customFormat="1" ht="21" customHeight="1" x14ac:dyDescent="0.15">
      <c r="A52" s="120" t="s">
        <v>98</v>
      </c>
      <c r="B52" s="99"/>
      <c r="C52" s="99"/>
      <c r="D52" s="100">
        <f>IF(OR(Etatsfin!D10=0,Etatsfin!D6=0),"n/d ",(Etatsfin!D58/Etatsfin!D6)/Etatsfin!D10)</f>
        <v>4.3095566615951111E-2</v>
      </c>
      <c r="E52" s="100">
        <f>IF(OR(Etatsfin!E10=0,Etatsfin!E6=0),"n/d ",(Etatsfin!E58/Etatsfin!E6)/Etatsfin!E10)</f>
        <v>0.12915019872080066</v>
      </c>
      <c r="F52" s="100">
        <f>IF(OR(Etatsfin!F10=0,Etatsfin!F6=0),"n/d ",(Etatsfin!F58/Etatsfin!F6)/Etatsfin!F10)</f>
        <v>0.11933342132881328</v>
      </c>
      <c r="G52" s="101">
        <f>IF(OR(Etatsfin!G10=0,Etatsfin!G6=0),"n/d ",(Etatsfin!G58/Etatsfin!G6)/Etatsfin!G10)</f>
        <v>0.15127616576596445</v>
      </c>
    </row>
    <row r="53" spans="1:7" ht="21" customHeight="1" x14ac:dyDescent="0.15">
      <c r="A53" s="117" t="s">
        <v>99</v>
      </c>
      <c r="B53" s="92"/>
      <c r="C53" s="92"/>
      <c r="D53" s="118"/>
      <c r="E53" s="118"/>
      <c r="F53" s="118"/>
      <c r="G53" s="119"/>
    </row>
    <row r="54" spans="1:7" s="95" customFormat="1" ht="13" customHeight="1" x14ac:dyDescent="0.15">
      <c r="A54" s="1142" t="s">
        <v>626</v>
      </c>
      <c r="B54" s="1143"/>
      <c r="C54" s="1143"/>
      <c r="D54" s="1144">
        <f>IF(D5=0,"n/d",Saisie!E37/D5*360*Etatsfin!D6)</f>
        <v>282.0410501471851</v>
      </c>
      <c r="E54" s="1144">
        <f>IF(E5=0,"n/d",Saisie!F37/E5*360*Etatsfin!E6)</f>
        <v>132.08756050204073</v>
      </c>
      <c r="F54" s="1144">
        <f>IF(F5=0,"n/d",Saisie!G37/F5*360*Etatsfin!F6)</f>
        <v>204.16989007341931</v>
      </c>
      <c r="G54" s="1145">
        <f>IF(G5=0,"n/d",Saisie!H37/G5*360*Etatsfin!G6)</f>
        <v>99.036897493059541</v>
      </c>
    </row>
    <row r="55" spans="1:7" s="95" customFormat="1" ht="13" customHeight="1" x14ac:dyDescent="0.15">
      <c r="A55" s="105" t="s">
        <v>627</v>
      </c>
      <c r="B55" s="103"/>
      <c r="C55" s="103"/>
      <c r="D55" s="121">
        <f>IF(D5=0,"n/d",Saisie!E46/D5*360*Etatsfin!D6)</f>
        <v>279.50252923578375</v>
      </c>
      <c r="E55" s="121">
        <f>IF(E5=0,"n/d",Saisie!F46/E5*360*Etatsfin!E6)</f>
        <v>28.857895463448266</v>
      </c>
      <c r="F55" s="121">
        <f>IF(F5=0,"n/d",Saisie!G46/F5*360*Etatsfin!F6)</f>
        <v>50.463787434206218</v>
      </c>
      <c r="G55" s="122">
        <f>IF(G5=0,"n/d",Saisie!H46/G5*360*Etatsfin!G6)</f>
        <v>85.46893706218637</v>
      </c>
    </row>
    <row r="56" spans="1:7" ht="13" customHeight="1" x14ac:dyDescent="0.15">
      <c r="A56" s="105" t="s">
        <v>100</v>
      </c>
      <c r="B56" s="103"/>
      <c r="C56" s="103"/>
      <c r="D56" s="121">
        <f>IF(D5=0,"n/d",Saisie!E100/D5*360*Etatsfin!D6)</f>
        <v>179.02550443446577</v>
      </c>
      <c r="E56" s="121">
        <f>IF(E5=0,"n/d",Saisie!F100/E5*360*Etatsfin!E6)</f>
        <v>103.56701077640884</v>
      </c>
      <c r="F56" s="121">
        <f>IF(F5=0,"n/d",Saisie!G100/F5*360*Etatsfin!F6)</f>
        <v>55.830710598130487</v>
      </c>
      <c r="G56" s="122">
        <f>IF(G5=0,"n/d",Saisie!H100/G5*360*Etatsfin!G6)</f>
        <v>73.82462310786984</v>
      </c>
    </row>
    <row r="57" spans="1:7" s="95" customFormat="1" ht="13" customHeight="1" x14ac:dyDescent="0.15">
      <c r="A57" s="105" t="s">
        <v>628</v>
      </c>
      <c r="B57" s="103"/>
      <c r="C57" s="103"/>
      <c r="D57" s="121">
        <f>IF(Saisie!E126=0,"n/d",Saisie!E100/Saisie!E126*360*Etatsfin!D6)</f>
        <v>204.02148368668585</v>
      </c>
      <c r="E57" s="121">
        <f>IF(Saisie!F126=0,"n/d",Saisie!F100/Saisie!F126*360*Etatsfin!E6)</f>
        <v>116.30174317880423</v>
      </c>
      <c r="F57" s="121">
        <f>IF(Saisie!G126=0,"n/d",Saisie!G100/Saisie!G126*360*Etatsfin!F6)</f>
        <v>66.185618838639641</v>
      </c>
      <c r="G57" s="122">
        <f>IF(Saisie!H126=0,"n/d",Saisie!H100/Saisie!H126*360*Etatsfin!G6)</f>
        <v>86.517676077284335</v>
      </c>
    </row>
    <row r="58" spans="1:7" ht="21" customHeight="1" thickBot="1" x14ac:dyDescent="0.2">
      <c r="A58" s="123" t="s">
        <v>101</v>
      </c>
      <c r="B58" s="124"/>
      <c r="C58" s="124"/>
      <c r="D58" s="125">
        <f>Etatsfin!D37</f>
        <v>195.46226866752914</v>
      </c>
      <c r="E58" s="125">
        <f>Etatsfin!E37</f>
        <v>70.129975242191932</v>
      </c>
      <c r="F58" s="125">
        <f>Etatsfin!F37</f>
        <v>125.75104666942404</v>
      </c>
      <c r="G58" s="126">
        <f>Etatsfin!G37</f>
        <v>118.32029131463703</v>
      </c>
    </row>
    <row r="59" spans="1:7" ht="14" x14ac:dyDescent="0.15"/>
    <row r="60" spans="1:7" ht="14" x14ac:dyDescent="0.15"/>
    <row r="61" spans="1:7" ht="14" x14ac:dyDescent="0.15"/>
    <row r="62" spans="1:7" ht="14" x14ac:dyDescent="0.15"/>
    <row r="63" spans="1:7" ht="14" x14ac:dyDescent="0.15"/>
    <row r="74" ht="14" x14ac:dyDescent="0.15"/>
    <row r="75" ht="14" x14ac:dyDescent="0.15"/>
  </sheetData>
  <phoneticPr fontId="10" type="noConversion"/>
  <printOptions horizontalCentered="1" verticalCentered="1"/>
  <pageMargins left="0" right="0" top="0" bottom="0" header="0" footer="0"/>
  <pageSetup paperSize="9" scale="90" orientation="portrait" blackAndWhite="1" horizontalDpi="4294967292"/>
  <headerFooter alignWithMargins="0">
    <oddFooter>&amp;RV2 - janvier 2002</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28B55"/>
    <pageSetUpPr fitToPage="1"/>
  </sheetPr>
  <dimension ref="A1:T90"/>
  <sheetViews>
    <sheetView showGridLines="0" topLeftCell="A29" zoomScale="75" workbookViewId="0"/>
  </sheetViews>
  <sheetFormatPr baseColWidth="10" defaultColWidth="12.6640625" defaultRowHeight="14" customHeight="1" outlineLevelRow="1" x14ac:dyDescent="0.15"/>
  <cols>
    <col min="1" max="1" width="41.6640625" style="238" customWidth="1"/>
    <col min="2" max="2" width="12.6640625" style="238" customWidth="1"/>
    <col min="3" max="4" width="0.83203125" style="238" hidden="1" customWidth="1"/>
    <col min="5" max="7" width="12.6640625" style="457" customWidth="1"/>
    <col min="8" max="8" width="13" style="457" customWidth="1"/>
    <col min="9" max="15" width="12.6640625" style="238" customWidth="1"/>
    <col min="16" max="19" width="12.6640625" style="238"/>
    <col min="20" max="20" width="27.5" style="238" customWidth="1"/>
    <col min="21" max="23" width="12.6640625" style="238"/>
    <col min="24" max="24" width="29" style="238" customWidth="1"/>
    <col min="25" max="16384" width="12.6640625" style="238"/>
  </cols>
  <sheetData>
    <row r="1" spans="1:14" ht="14" customHeight="1" thickBot="1" x14ac:dyDescent="0.2">
      <c r="A1" s="239"/>
      <c r="B1" s="240"/>
      <c r="C1" s="240"/>
      <c r="D1" s="240"/>
      <c r="E1" s="241"/>
      <c r="F1" s="241"/>
      <c r="G1" s="242"/>
      <c r="H1" s="243"/>
      <c r="I1" s="244"/>
      <c r="J1" s="245"/>
      <c r="L1" s="246" t="s">
        <v>330</v>
      </c>
      <c r="M1" s="247"/>
    </row>
    <row r="2" spans="1:14" ht="14" customHeight="1" thickBot="1" x14ac:dyDescent="0.2">
      <c r="A2" s="248" t="s">
        <v>331</v>
      </c>
      <c r="B2" s="249"/>
      <c r="C2" s="249"/>
      <c r="D2" s="249"/>
      <c r="E2" s="250"/>
      <c r="F2" s="250"/>
      <c r="G2" s="251"/>
      <c r="H2" s="252" t="s">
        <v>332</v>
      </c>
      <c r="I2" s="253"/>
      <c r="J2" s="254"/>
      <c r="K2" s="255"/>
      <c r="L2" s="256" t="s">
        <v>333</v>
      </c>
      <c r="M2" s="257"/>
      <c r="N2" s="258"/>
    </row>
    <row r="3" spans="1:14" s="266" customFormat="1" ht="21" customHeight="1" thickBot="1" x14ac:dyDescent="0.2">
      <c r="A3" s="259" t="s">
        <v>334</v>
      </c>
      <c r="B3" s="260"/>
      <c r="C3" s="260"/>
      <c r="D3" s="260"/>
      <c r="E3" s="261"/>
      <c r="F3" s="261"/>
      <c r="G3" s="262"/>
      <c r="H3" s="263" t="s">
        <v>335</v>
      </c>
      <c r="I3" s="264"/>
      <c r="J3" s="265"/>
      <c r="L3" s="267">
        <f>IF(OR(G2="O",G2="Oui"),0,1)</f>
        <v>1</v>
      </c>
      <c r="M3" s="268">
        <f>IF(L3=1,0,1)</f>
        <v>0</v>
      </c>
      <c r="N3" s="258"/>
    </row>
    <row r="4" spans="1:14" s="266" customFormat="1" ht="15" hidden="1" customHeight="1" outlineLevel="1" x14ac:dyDescent="0.15">
      <c r="A4" s="269"/>
      <c r="B4" s="270"/>
      <c r="C4" s="270"/>
      <c r="D4" s="270"/>
      <c r="E4" s="271"/>
      <c r="F4" s="271"/>
      <c r="G4" s="271"/>
      <c r="H4" s="272"/>
      <c r="I4" s="273"/>
      <c r="J4" s="273"/>
      <c r="L4" s="274"/>
      <c r="M4" s="274"/>
      <c r="N4" s="275"/>
    </row>
    <row r="5" spans="1:14" ht="15" hidden="1" customHeight="1" outlineLevel="1" x14ac:dyDescent="0.15">
      <c r="A5" s="270" t="s">
        <v>336</v>
      </c>
      <c r="B5" s="276"/>
      <c r="C5" s="276"/>
      <c r="D5" s="276"/>
      <c r="E5" s="277"/>
      <c r="F5" s="277"/>
      <c r="G5" s="277"/>
      <c r="H5" s="278"/>
      <c r="I5" s="279"/>
      <c r="J5" s="279"/>
      <c r="K5" s="266"/>
      <c r="L5" s="255"/>
      <c r="M5" s="258"/>
      <c r="N5" s="258"/>
    </row>
    <row r="6" spans="1:14" ht="15" hidden="1" customHeight="1" outlineLevel="1" x14ac:dyDescent="0.15">
      <c r="A6" s="280" t="s">
        <v>337</v>
      </c>
      <c r="B6" s="281"/>
      <c r="C6" s="281"/>
      <c r="D6" s="281"/>
      <c r="E6" s="282"/>
      <c r="F6" s="282"/>
      <c r="G6" s="282"/>
      <c r="H6" s="283"/>
      <c r="I6" s="279"/>
      <c r="J6" s="279"/>
      <c r="K6" s="266"/>
      <c r="L6" s="255"/>
      <c r="M6" s="258"/>
      <c r="N6" s="258"/>
    </row>
    <row r="7" spans="1:14" ht="15" hidden="1" customHeight="1" outlineLevel="1" x14ac:dyDescent="0.15">
      <c r="A7" s="270"/>
      <c r="B7" s="276"/>
      <c r="C7" s="276"/>
      <c r="D7" s="276"/>
      <c r="E7" s="277"/>
      <c r="F7" s="277"/>
      <c r="G7" s="277"/>
      <c r="H7" s="278"/>
      <c r="I7" s="279"/>
      <c r="J7" s="279"/>
      <c r="K7" s="266"/>
      <c r="L7" s="255"/>
      <c r="M7" s="258"/>
      <c r="N7" s="258"/>
    </row>
    <row r="8" spans="1:14" ht="15" hidden="1" customHeight="1" outlineLevel="1" x14ac:dyDescent="0.15">
      <c r="A8" s="270" t="s">
        <v>338</v>
      </c>
      <c r="B8" s="276"/>
      <c r="C8" s="276"/>
      <c r="D8" s="276"/>
      <c r="E8" s="277"/>
      <c r="F8" s="277"/>
      <c r="G8" s="277"/>
      <c r="H8" s="278"/>
      <c r="I8" s="279"/>
      <c r="J8" s="279"/>
      <c r="K8" s="266"/>
      <c r="L8" s="255"/>
      <c r="M8" s="258"/>
      <c r="N8" s="258"/>
    </row>
    <row r="9" spans="1:14" ht="15" hidden="1" customHeight="1" outlineLevel="1" x14ac:dyDescent="0.15">
      <c r="A9" s="270" t="s">
        <v>339</v>
      </c>
      <c r="B9" s="276"/>
      <c r="C9" s="276"/>
      <c r="D9" s="276"/>
      <c r="E9" s="277"/>
      <c r="F9" s="277"/>
      <c r="G9" s="277"/>
      <c r="H9" s="278"/>
      <c r="I9" s="279"/>
      <c r="J9" s="279"/>
      <c r="K9" s="266"/>
      <c r="L9" s="255"/>
      <c r="M9" s="258"/>
      <c r="N9" s="258"/>
    </row>
    <row r="10" spans="1:14" ht="15" hidden="1" customHeight="1" outlineLevel="1" x14ac:dyDescent="0.15">
      <c r="A10" s="270" t="s">
        <v>565</v>
      </c>
      <c r="B10" s="276"/>
      <c r="C10" s="276"/>
      <c r="D10" s="276"/>
      <c r="E10" s="277"/>
      <c r="F10" s="277"/>
      <c r="G10" s="277"/>
      <c r="H10" s="278"/>
      <c r="I10" s="279"/>
      <c r="J10" s="279"/>
      <c r="K10" s="266"/>
      <c r="L10" s="255"/>
      <c r="M10" s="258"/>
      <c r="N10" s="258"/>
    </row>
    <row r="11" spans="1:14" ht="15" hidden="1" customHeight="1" outlineLevel="1" x14ac:dyDescent="0.15">
      <c r="A11" s="270"/>
      <c r="B11" s="276"/>
      <c r="C11" s="276"/>
      <c r="D11" s="276"/>
      <c r="E11" s="277"/>
      <c r="F11" s="277"/>
      <c r="G11" s="277"/>
      <c r="H11" s="278"/>
      <c r="I11" s="279"/>
      <c r="J11" s="279"/>
      <c r="K11" s="266"/>
      <c r="L11" s="255"/>
      <c r="M11" s="274"/>
      <c r="N11" s="274"/>
    </row>
    <row r="12" spans="1:14" ht="15" hidden="1" customHeight="1" outlineLevel="1" x14ac:dyDescent="0.15">
      <c r="A12" s="270" t="s">
        <v>566</v>
      </c>
      <c r="B12" s="276"/>
      <c r="C12" s="276"/>
      <c r="D12" s="276"/>
      <c r="E12" s="277"/>
      <c r="F12" s="277"/>
      <c r="G12" s="277"/>
      <c r="H12" s="278"/>
      <c r="I12" s="279"/>
      <c r="J12" s="279"/>
      <c r="K12" s="266"/>
      <c r="L12" s="255"/>
      <c r="M12" s="274"/>
      <c r="N12" s="274"/>
    </row>
    <row r="13" spans="1:14" ht="15" hidden="1" customHeight="1" outlineLevel="1" x14ac:dyDescent="0.15">
      <c r="A13" s="270" t="s">
        <v>340</v>
      </c>
      <c r="B13" s="276"/>
      <c r="C13" s="276"/>
      <c r="D13" s="276"/>
      <c r="E13" s="277"/>
      <c r="F13" s="277"/>
      <c r="G13" s="277"/>
      <c r="H13" s="278"/>
      <c r="I13" s="279"/>
      <c r="J13" s="279"/>
      <c r="K13" s="266"/>
      <c r="L13" s="255"/>
      <c r="M13" s="274"/>
      <c r="N13" s="274"/>
    </row>
    <row r="14" spans="1:14" ht="15" hidden="1" customHeight="1" outlineLevel="1" x14ac:dyDescent="0.15">
      <c r="A14" s="270" t="s">
        <v>567</v>
      </c>
      <c r="B14" s="276"/>
      <c r="C14" s="276"/>
      <c r="D14" s="276"/>
      <c r="E14" s="277"/>
      <c r="F14" s="277"/>
      <c r="G14" s="277"/>
      <c r="H14" s="278"/>
      <c r="I14" s="279" t="s">
        <v>133</v>
      </c>
      <c r="J14" s="279"/>
      <c r="K14" s="266"/>
      <c r="L14" s="255"/>
      <c r="M14" s="274"/>
      <c r="N14" s="274"/>
    </row>
    <row r="15" spans="1:14" ht="15" hidden="1" customHeight="1" outlineLevel="1" x14ac:dyDescent="0.15">
      <c r="A15" s="270" t="s">
        <v>341</v>
      </c>
      <c r="B15" s="276"/>
      <c r="C15" s="276"/>
      <c r="D15" s="276"/>
      <c r="E15" s="277"/>
      <c r="F15" s="277"/>
      <c r="G15" s="277"/>
      <c r="H15" s="278"/>
      <c r="I15" s="279"/>
      <c r="J15" s="279"/>
      <c r="K15" s="266"/>
      <c r="L15" s="255"/>
      <c r="M15" s="274"/>
      <c r="N15" s="274"/>
    </row>
    <row r="16" spans="1:14" ht="15" hidden="1" customHeight="1" outlineLevel="1" x14ac:dyDescent="0.15">
      <c r="A16" s="270" t="s">
        <v>342</v>
      </c>
      <c r="B16" s="276"/>
      <c r="C16" s="276"/>
      <c r="D16" s="276"/>
      <c r="E16" s="277"/>
      <c r="F16" s="277"/>
      <c r="G16" s="277"/>
      <c r="H16" s="278"/>
      <c r="I16" s="279"/>
      <c r="J16" s="279"/>
      <c r="K16" s="266"/>
      <c r="L16" s="255"/>
      <c r="M16" s="274"/>
      <c r="N16" s="274"/>
    </row>
    <row r="17" spans="1:19" ht="15" hidden="1" customHeight="1" outlineLevel="1" x14ac:dyDescent="0.15">
      <c r="A17" s="270" t="s">
        <v>343</v>
      </c>
      <c r="B17" s="276"/>
      <c r="C17" s="276"/>
      <c r="D17" s="276"/>
      <c r="E17" s="277"/>
      <c r="F17" s="277"/>
      <c r="G17" s="277"/>
      <c r="H17" s="278"/>
      <c r="I17" s="279"/>
      <c r="J17" s="279"/>
      <c r="K17" s="266"/>
      <c r="L17" s="255"/>
      <c r="M17" s="274"/>
      <c r="N17" s="274"/>
    </row>
    <row r="18" spans="1:19" ht="15" hidden="1" customHeight="1" outlineLevel="1" x14ac:dyDescent="0.15">
      <c r="A18" s="270"/>
      <c r="B18" s="276"/>
      <c r="C18" s="276"/>
      <c r="D18" s="276"/>
      <c r="E18" s="277"/>
      <c r="F18" s="277"/>
      <c r="G18" s="277"/>
      <c r="H18" s="278"/>
      <c r="I18" s="279"/>
      <c r="J18" s="279"/>
      <c r="K18" s="266"/>
      <c r="L18" s="255"/>
      <c r="M18" s="274"/>
      <c r="N18" s="274"/>
    </row>
    <row r="19" spans="1:19" ht="15" hidden="1" customHeight="1" outlineLevel="1" x14ac:dyDescent="0.15">
      <c r="A19" s="270" t="s">
        <v>344</v>
      </c>
      <c r="B19" s="276"/>
      <c r="C19" s="276"/>
      <c r="D19" s="276"/>
      <c r="E19" s="277"/>
      <c r="F19" s="277"/>
      <c r="G19" s="277"/>
      <c r="H19" s="278"/>
      <c r="I19" s="279"/>
      <c r="J19" s="279"/>
      <c r="K19" s="266"/>
      <c r="L19" s="255"/>
      <c r="M19" s="274"/>
      <c r="N19" s="274"/>
    </row>
    <row r="20" spans="1:19" ht="15" hidden="1" customHeight="1" outlineLevel="1" x14ac:dyDescent="0.15">
      <c r="A20" s="270" t="s">
        <v>345</v>
      </c>
      <c r="B20" s="276"/>
      <c r="C20" s="276"/>
      <c r="D20" s="276"/>
      <c r="E20" s="277"/>
      <c r="F20" s="277"/>
      <c r="G20" s="277"/>
      <c r="H20" s="278"/>
      <c r="I20" s="279"/>
      <c r="J20" s="279"/>
      <c r="K20" s="266"/>
      <c r="L20" s="255"/>
      <c r="M20" s="274"/>
      <c r="N20" s="274"/>
    </row>
    <row r="21" spans="1:19" s="276" customFormat="1" ht="15" hidden="1" customHeight="1" outlineLevel="1" thickBot="1" x14ac:dyDescent="0.2">
      <c r="A21" s="284"/>
      <c r="B21" s="285"/>
      <c r="C21" s="285"/>
      <c r="D21" s="285"/>
      <c r="E21" s="286"/>
      <c r="F21" s="286"/>
      <c r="G21" s="286"/>
      <c r="H21" s="287"/>
      <c r="I21" s="288"/>
      <c r="J21" s="288"/>
      <c r="K21" s="285"/>
      <c r="L21" s="285"/>
      <c r="M21" s="285"/>
      <c r="N21" s="285"/>
      <c r="O21" s="285"/>
      <c r="P21" s="285"/>
      <c r="Q21" s="285"/>
      <c r="R21" s="285"/>
      <c r="S21" s="285"/>
    </row>
    <row r="22" spans="1:19" s="276" customFormat="1" ht="14" customHeight="1" collapsed="1" x14ac:dyDescent="0.15">
      <c r="A22" s="289"/>
      <c r="B22" s="290"/>
      <c r="C22" s="290"/>
      <c r="D22" s="290"/>
      <c r="E22" s="291"/>
      <c r="F22" s="291"/>
      <c r="G22" s="291"/>
      <c r="H22" s="291"/>
      <c r="I22" s="290"/>
      <c r="J22" s="290"/>
    </row>
    <row r="23" spans="1:19" ht="14" customHeight="1" x14ac:dyDescent="0.15">
      <c r="A23" s="292"/>
      <c r="B23" s="292"/>
      <c r="C23" s="292"/>
      <c r="D23" s="292"/>
      <c r="E23" s="292"/>
      <c r="F23" s="292"/>
      <c r="G23" s="293"/>
      <c r="H23" s="238"/>
      <c r="L23" s="294" t="s">
        <v>349</v>
      </c>
      <c r="M23" s="1213">
        <f ca="1">TODAY()</f>
        <v>46304</v>
      </c>
      <c r="N23" s="1214">
        <f ca="1">TODAY()</f>
        <v>46304</v>
      </c>
    </row>
    <row r="24" spans="1:19" ht="14" customHeight="1" x14ac:dyDescent="0.15">
      <c r="A24" s="296" t="s">
        <v>350</v>
      </c>
      <c r="B24" s="297" t="str">
        <f>IF(PrSept!B19="Saisir sur Saisie ou Etatsfin",CONCATENATE(PrSept!B19," ou PrSept"),PrSept!B19)</f>
        <v>MERIPLAST</v>
      </c>
      <c r="C24" s="298"/>
      <c r="D24" s="298"/>
      <c r="E24" s="299"/>
      <c r="F24" s="300"/>
      <c r="G24" s="293"/>
      <c r="H24" s="238"/>
      <c r="M24" s="293"/>
      <c r="N24" s="293"/>
    </row>
    <row r="25" spans="1:19" ht="14" customHeight="1" x14ac:dyDescent="0.15">
      <c r="A25" s="296" t="s">
        <v>351</v>
      </c>
      <c r="B25" s="297" t="str">
        <f>IF(PrSept!B20="Saisir sur Saisie ou Etatsfin",CONCATENATE(PrSept!B20," ou PrSept"),PrSept!B20)</f>
        <v>MERIPLAST</v>
      </c>
      <c r="C25" s="298"/>
      <c r="D25" s="298"/>
      <c r="E25" s="299"/>
      <c r="F25" s="300"/>
      <c r="G25" s="293"/>
      <c r="H25" s="238"/>
      <c r="L25" s="301" t="s">
        <v>352</v>
      </c>
      <c r="M25" s="302" t="s">
        <v>116</v>
      </c>
      <c r="N25" s="303"/>
    </row>
    <row r="26" spans="1:19" ht="14" customHeight="1" x14ac:dyDescent="0.15">
      <c r="A26" s="304"/>
      <c r="B26" s="304"/>
      <c r="C26" s="305"/>
      <c r="D26" s="305"/>
      <c r="E26" s="304"/>
      <c r="F26" s="306"/>
      <c r="G26" s="306"/>
      <c r="H26" s="238"/>
    </row>
    <row r="27" spans="1:19" ht="14" customHeight="1" x14ac:dyDescent="0.15">
      <c r="A27" s="307"/>
      <c r="B27" s="308"/>
      <c r="C27" s="309"/>
      <c r="D27" s="309"/>
      <c r="E27" s="307"/>
      <c r="F27" s="310"/>
      <c r="G27" s="311"/>
      <c r="H27" s="312"/>
      <c r="I27" s="312"/>
      <c r="J27" s="312"/>
      <c r="K27" s="312"/>
      <c r="L27" s="312"/>
      <c r="M27" s="312"/>
      <c r="N27" s="312"/>
      <c r="O27" s="312"/>
      <c r="P27" s="312"/>
      <c r="Q27" s="312"/>
      <c r="R27" s="312"/>
      <c r="S27" s="312"/>
    </row>
    <row r="28" spans="1:19" ht="14" customHeight="1" x14ac:dyDescent="0.15">
      <c r="A28" s="313"/>
      <c r="B28" s="276"/>
      <c r="C28" s="273"/>
      <c r="D28" s="273"/>
      <c r="E28" s="313"/>
      <c r="F28" s="314"/>
      <c r="G28" s="306"/>
      <c r="H28" s="238"/>
    </row>
    <row r="29" spans="1:19" s="304" customFormat="1" ht="14" customHeight="1" x14ac:dyDescent="0.2">
      <c r="E29" s="315" t="str">
        <f>PrSept!E25</f>
        <v>Historique</v>
      </c>
      <c r="F29" s="316"/>
      <c r="G29" s="317"/>
      <c r="H29" s="318" t="str">
        <f>PrSept!H25</f>
        <v>Prévisions</v>
      </c>
      <c r="I29" s="319"/>
      <c r="J29" s="319"/>
      <c r="K29" s="319"/>
      <c r="L29" s="319"/>
      <c r="M29" s="319"/>
      <c r="N29" s="319"/>
    </row>
    <row r="30" spans="1:19" s="305" customFormat="1" ht="14" customHeight="1" x14ac:dyDescent="0.2">
      <c r="A30" s="320" t="s">
        <v>568</v>
      </c>
      <c r="E30" s="321">
        <f>PrSept!E26</f>
        <v>39783</v>
      </c>
      <c r="F30" s="321">
        <f>PrSept!F26</f>
        <v>40178</v>
      </c>
      <c r="G30" s="321">
        <f>PrSept!G26</f>
        <v>40543</v>
      </c>
      <c r="H30" s="321">
        <f>PrSept!H26</f>
        <v>40909</v>
      </c>
      <c r="I30" s="321">
        <f>PrSept!I26</f>
        <v>41275</v>
      </c>
      <c r="J30" s="321">
        <f>PrSept!J26</f>
        <v>41641</v>
      </c>
      <c r="K30" s="321">
        <f>PrSept!K26</f>
        <v>42007</v>
      </c>
      <c r="L30" s="321">
        <f>PrSept!L26</f>
        <v>42373</v>
      </c>
      <c r="M30" s="321">
        <f>PrSept!M26</f>
        <v>42739</v>
      </c>
      <c r="N30" s="321">
        <f>PrSept!N26</f>
        <v>43105</v>
      </c>
      <c r="O30" s="322" t="s">
        <v>353</v>
      </c>
      <c r="P30" s="322"/>
    </row>
    <row r="31" spans="1:19" s="255" customFormat="1" ht="14" customHeight="1" x14ac:dyDescent="0.15">
      <c r="A31" s="323" t="str">
        <f>IF(OR(PrSept!T27&lt;1,PrSept!T27&gt;1.003)," (Message à effacer après lecture)    La durée de l'un des exercices de l'historique n'est pas de 12 mois. Comme pour toutes les autres Feuilles, les chiffres ci-dessous exprimés en % ou en jours sont annualisés; ceux exprimés en montant ne le sont pas.","")</f>
        <v/>
      </c>
      <c r="E31" s="324"/>
      <c r="F31" s="324"/>
      <c r="G31" s="324"/>
      <c r="H31" s="324"/>
      <c r="I31" s="324"/>
      <c r="J31" s="324"/>
      <c r="K31" s="324"/>
      <c r="L31" s="324"/>
      <c r="M31" s="324"/>
      <c r="N31" s="324"/>
    </row>
    <row r="32" spans="1:19" ht="14" customHeight="1" x14ac:dyDescent="0.15">
      <c r="A32" s="305" t="s">
        <v>569</v>
      </c>
      <c r="B32" s="325" t="s">
        <v>354</v>
      </c>
      <c r="C32" s="325"/>
      <c r="D32" s="325"/>
      <c r="E32" s="326"/>
      <c r="F32" s="327"/>
      <c r="G32" s="327"/>
      <c r="H32" s="328"/>
      <c r="I32" s="327"/>
      <c r="O32" s="322" t="s">
        <v>570</v>
      </c>
      <c r="P32" s="329"/>
      <c r="Q32" s="329"/>
    </row>
    <row r="33" spans="1:20" ht="14" customHeight="1" x14ac:dyDescent="0.15">
      <c r="A33" s="330" t="s">
        <v>54</v>
      </c>
      <c r="E33" s="331">
        <f>PrSept!E105</f>
        <v>4.1606827575239036</v>
      </c>
      <c r="F33" s="332">
        <f>PrSept!F105</f>
        <v>0.17156903253155531</v>
      </c>
      <c r="G33" s="333">
        <f>PrSept!G105</f>
        <v>0.92669252216949483</v>
      </c>
      <c r="H33" s="334"/>
      <c r="I33" s="334"/>
      <c r="J33" s="334"/>
      <c r="K33" s="334"/>
      <c r="L33" s="334"/>
      <c r="M33" s="334"/>
      <c r="N33" s="335"/>
      <c r="O33" s="330" t="s">
        <v>54</v>
      </c>
    </row>
    <row r="34" spans="1:20" ht="14" customHeight="1" x14ac:dyDescent="0.15">
      <c r="A34" s="336" t="str">
        <f>CONCATENATE("CA (en ",PrSept!O21,")")</f>
        <v>CA (en KF)</v>
      </c>
      <c r="B34" s="337" t="s">
        <v>355</v>
      </c>
      <c r="C34" s="337"/>
      <c r="D34" s="337"/>
      <c r="E34" s="338">
        <f>PrSept!E104</f>
        <v>717966.67356999998</v>
      </c>
      <c r="F34" s="339">
        <f>PrSept!F104</f>
        <v>907795.82200000004</v>
      </c>
      <c r="G34" s="340">
        <f>PrSept!G104</f>
        <v>1616204.6810000001</v>
      </c>
      <c r="H34" s="338"/>
      <c r="I34" s="338"/>
      <c r="J34" s="338"/>
      <c r="K34" s="338"/>
      <c r="L34" s="338"/>
      <c r="M34" s="338"/>
      <c r="N34" s="341"/>
      <c r="O34" s="330" t="str">
        <f>A34</f>
        <v>CA (en KF)</v>
      </c>
      <c r="P34" s="342"/>
      <c r="Q34" s="337" t="s">
        <v>355</v>
      </c>
    </row>
    <row r="35" spans="1:20" ht="14" customHeight="1" x14ac:dyDescent="0.15">
      <c r="A35" s="330" t="s">
        <v>56</v>
      </c>
      <c r="E35" s="343">
        <f>PrSept!E119</f>
        <v>0.10949734762631035</v>
      </c>
      <c r="F35" s="344">
        <f>PrSept!F119</f>
        <v>0.17789394716998388</v>
      </c>
      <c r="G35" s="345">
        <f>PrSept!G119</f>
        <v>0.14723784357112629</v>
      </c>
      <c r="H35" s="346"/>
      <c r="I35" s="346"/>
      <c r="J35" s="346"/>
      <c r="K35" s="346"/>
      <c r="L35" s="346"/>
      <c r="M35" s="346"/>
      <c r="N35" s="347"/>
      <c r="O35" s="330" t="s">
        <v>56</v>
      </c>
    </row>
    <row r="36" spans="1:20" ht="14" customHeight="1" x14ac:dyDescent="0.15">
      <c r="A36" s="330" t="s">
        <v>59</v>
      </c>
      <c r="E36" s="343">
        <f>PrSept!E136</f>
        <v>6.2834775360365719E-2</v>
      </c>
      <c r="F36" s="344">
        <f>PrSept!F136</f>
        <v>9.4057213010614732E-2</v>
      </c>
      <c r="G36" s="345">
        <f>PrSept!G136</f>
        <v>7.056281567594351E-2</v>
      </c>
      <c r="H36" s="346"/>
      <c r="I36" s="346"/>
      <c r="J36" s="346"/>
      <c r="K36" s="346"/>
      <c r="L36" s="346"/>
      <c r="M36" s="346"/>
      <c r="N36" s="347"/>
      <c r="O36" s="330" t="s">
        <v>59</v>
      </c>
    </row>
    <row r="37" spans="1:20" ht="14" customHeight="1" x14ac:dyDescent="0.15">
      <c r="A37" s="238" t="s">
        <v>356</v>
      </c>
      <c r="E37" s="348">
        <f>IF(OR(PrSept!E29=0,PrSept!R27=0),"n/d ",(PrSept!E143/PrSept!R27)/PrSept!E29)</f>
        <v>0.12915019872080066</v>
      </c>
      <c r="F37" s="349">
        <f>IF(OR(PrSept!F29=0,PrSept!S27=0),"n/d ",(PrSept!F143/PrSept!S27)/PrSept!F29)</f>
        <v>0.11933342132881328</v>
      </c>
      <c r="G37" s="350">
        <f>IF(OR(PrSept!G29=0,PrSept!T27=0),"n/d ",(PrSept!G143/PrSept!T27)/PrSept!G29)</f>
        <v>0.15127616576596445</v>
      </c>
      <c r="H37" s="351"/>
      <c r="I37" s="351"/>
      <c r="J37" s="351"/>
      <c r="K37" s="351"/>
      <c r="L37" s="351"/>
      <c r="M37" s="351"/>
      <c r="N37" s="352"/>
      <c r="O37" s="238" t="s">
        <v>356</v>
      </c>
    </row>
    <row r="38" spans="1:20" s="292" customFormat="1" ht="20" customHeight="1" x14ac:dyDescent="0.15">
      <c r="A38" s="353" t="s">
        <v>571</v>
      </c>
      <c r="B38" s="354" t="s">
        <v>354</v>
      </c>
      <c r="C38" s="354"/>
      <c r="D38" s="354"/>
      <c r="O38" s="355" t="s">
        <v>572</v>
      </c>
      <c r="P38" s="342"/>
      <c r="Q38" s="342"/>
      <c r="R38" s="342"/>
      <c r="S38" s="342"/>
      <c r="T38" s="342"/>
    </row>
    <row r="39" spans="1:20" ht="14" customHeight="1" x14ac:dyDescent="0.15">
      <c r="A39" s="238" t="s">
        <v>573</v>
      </c>
      <c r="E39" s="356">
        <f>PrSept!E16</f>
        <v>3.1355583139032202E-2</v>
      </c>
      <c r="F39" s="357">
        <f>PrSept!F16</f>
        <v>6.85606310777927E-2</v>
      </c>
      <c r="G39" s="358">
        <f>PrSept!G16</f>
        <v>0.13383155130001953</v>
      </c>
      <c r="H39" s="359"/>
      <c r="I39" s="359"/>
      <c r="J39" s="359"/>
      <c r="K39" s="359"/>
      <c r="L39" s="359"/>
      <c r="M39" s="359"/>
      <c r="N39" s="360"/>
      <c r="O39" s="238" t="s">
        <v>573</v>
      </c>
    </row>
    <row r="40" spans="1:20" ht="14" customHeight="1" x14ac:dyDescent="0.15">
      <c r="A40" s="238" t="s">
        <v>357</v>
      </c>
      <c r="E40" s="361">
        <f>IF(OR((Etatsfin!D27+Etatsfin!D28+PrSept!E47=0),PrSept!R27=0,Etatsfin!D31=0,Etatsfin!J31=0),"n/d ",(PrSept!E151/PrSept!R27)/((Etatsfin!D27+Etatsfin!D28+PrSept!E47)/2))</f>
        <v>0</v>
      </c>
      <c r="F40" s="362">
        <f>IF(OR((PrSept!E47+PrSept!F47=0),PrSept!S27=0,PrSept!E49=0,PrSept!E82=0),"n/d ",(PrSept!F151/PrSept!S27)/((PrSept!E47+PrSept!F47)/2))</f>
        <v>0</v>
      </c>
      <c r="G40" s="363">
        <f>IF(OR((PrSept!F47+PrSept!G47=0),PrSept!T27=0,PrSept!F49=0,PrSept!F82=0),"n/d ",(PrSept!G151/PrSept!T27)/((PrSept!F47+PrSept!G47)/2))</f>
        <v>7.5978128958427718E-2</v>
      </c>
      <c r="H40" s="364"/>
      <c r="I40" s="364"/>
      <c r="J40" s="364"/>
      <c r="K40" s="364"/>
      <c r="L40" s="364"/>
      <c r="M40" s="364"/>
      <c r="N40" s="365"/>
      <c r="O40" s="238" t="s">
        <v>357</v>
      </c>
    </row>
    <row r="41" spans="1:20" ht="14" customHeight="1" x14ac:dyDescent="0.15">
      <c r="A41" s="238" t="s">
        <v>574</v>
      </c>
      <c r="E41" s="366">
        <f>PrSept!E17</f>
        <v>0.24999981640668409</v>
      </c>
      <c r="F41" s="367">
        <f>PrSept!F17</f>
        <v>0.24512003463746337</v>
      </c>
      <c r="G41" s="368">
        <f>PrSept!G17</f>
        <v>0.2011208380002546</v>
      </c>
      <c r="H41" s="364"/>
      <c r="I41" s="364"/>
      <c r="J41" s="364"/>
      <c r="K41" s="364"/>
      <c r="L41" s="364"/>
      <c r="M41" s="364"/>
      <c r="N41" s="365"/>
      <c r="O41" s="238" t="s">
        <v>575</v>
      </c>
    </row>
    <row r="42" spans="1:20" ht="14" customHeight="1" x14ac:dyDescent="0.15">
      <c r="A42" s="238" t="s">
        <v>576</v>
      </c>
      <c r="E42" s="348">
        <f>IF(PrSept!E165=0,"n/d ",(PrSept!E165-PrSept!E57)/PrSept!E165)</f>
        <v>9.7916411189282315E-7</v>
      </c>
      <c r="F42" s="349">
        <f>IF(PrSept!F165=0,"n/d ",(PrSept!F165-PrSept!F57)/PrSept!F165)</f>
        <v>4.2258280031670615E-6</v>
      </c>
      <c r="G42" s="350">
        <f>IF(PrSept!G165=0,"n/d ",(PrSept!G165-PrSept!G57)/PrSept!G165)</f>
        <v>2.1608643398907153E-7</v>
      </c>
      <c r="H42" s="369"/>
      <c r="I42" s="369"/>
      <c r="J42" s="369"/>
      <c r="K42" s="369"/>
      <c r="L42" s="369"/>
      <c r="M42" s="369"/>
      <c r="N42" s="370"/>
      <c r="O42" s="238" t="s">
        <v>576</v>
      </c>
    </row>
    <row r="43" spans="1:20" ht="20" customHeight="1" x14ac:dyDescent="0.15">
      <c r="A43" s="305" t="s">
        <v>577</v>
      </c>
      <c r="B43" s="325" t="str">
        <f>CONCATENATE("(en ",PrSept!O21,")")</f>
        <v>(en KF)</v>
      </c>
      <c r="C43" s="325"/>
      <c r="D43" s="325"/>
      <c r="E43" s="371" t="str">
        <f>IF(OR(H41&lt;0,I41&lt;0,J41&lt;0,K41&lt;0,L41&lt;0,M41&lt;0,N41&lt;0,H42&lt;0,I42&lt;0,J42&lt;0,K42&lt;0,L42&lt;0,M42&lt;0,N42&lt;0),"Les 2 taux ci-dessus (IS et Divid.) doivent être &gt;0; ceux qui sont &lt;0 seront convertis en ''0'' pour les calculs, sauf à procéder comme indiqué en cellule R67/68  &gt;&gt;&gt;","")</f>
        <v/>
      </c>
      <c r="F43" s="372"/>
      <c r="G43" s="372"/>
      <c r="H43" s="373"/>
      <c r="I43" s="373"/>
      <c r="J43" s="373"/>
      <c r="K43" s="373"/>
      <c r="L43" s="373"/>
      <c r="M43" s="373"/>
      <c r="N43" s="373"/>
      <c r="O43" s="322" t="s">
        <v>358</v>
      </c>
      <c r="Q43" s="374" t="str">
        <f>B43</f>
        <v>(en KF)</v>
      </c>
      <c r="R43" s="375" t="str">
        <f>IF(E43="",""," a) Si vous souhaitez de l' IS malgré des pertes, vous pouvez considérer celui-ci comme une ''Charge hors exploitation ''cash'' '' à saisir dans cette Feuille, sur la ligne 91.")</f>
        <v/>
      </c>
    </row>
    <row r="44" spans="1:20" ht="14" customHeight="1" x14ac:dyDescent="0.15">
      <c r="A44" s="238" t="s">
        <v>182</v>
      </c>
      <c r="E44" s="376">
        <f>PrSept!E218</f>
        <v>61434.208020000005</v>
      </c>
      <c r="F44" s="377">
        <f>PrSept!F218</f>
        <v>12147.063979999988</v>
      </c>
      <c r="G44" s="377">
        <f>PrSept!G218</f>
        <v>26556.550000000057</v>
      </c>
      <c r="H44" s="378"/>
      <c r="I44" s="378"/>
      <c r="J44" s="378"/>
      <c r="K44" s="378"/>
      <c r="L44" s="378"/>
      <c r="M44" s="378"/>
      <c r="N44" s="378"/>
      <c r="O44" s="238" t="s">
        <v>359</v>
      </c>
      <c r="R44" s="379" t="str">
        <f>IF(E43="",""," b) Si vous souhaitez des dividendes malgré des pertes, vous pouvez directement saisir ceux-ci à partir de l'année ''H'' dans le Tableau de Flux de ''PrSept'' en écrasant les formules.")</f>
        <v/>
      </c>
    </row>
    <row r="45" spans="1:20" ht="14" customHeight="1" x14ac:dyDescent="0.15">
      <c r="A45" s="238" t="s">
        <v>360</v>
      </c>
      <c r="E45" s="380">
        <f>IF(PrSept!E233+PrSept!E234&lt;0,"n/d ",PrSept!E233+PrSept!E234)</f>
        <v>30259.74437</v>
      </c>
      <c r="F45" s="381" t="str">
        <f>IF(PrSept!F233+PrSept!F234&lt;0,"n/d ",PrSept!F233+PrSept!F234)</f>
        <v xml:space="preserve">n/d </v>
      </c>
      <c r="G45" s="381">
        <f>IF(PrSept!G233+PrSept!G234&lt;0,"n/d ",PrSept!G233+PrSept!G234)</f>
        <v>1043.0059999999939</v>
      </c>
      <c r="H45" s="382"/>
      <c r="I45" s="383"/>
      <c r="J45" s="383"/>
      <c r="K45" s="383"/>
      <c r="L45" s="383"/>
      <c r="M45" s="383"/>
      <c r="N45" s="383"/>
      <c r="O45" s="238" t="s">
        <v>360</v>
      </c>
    </row>
    <row r="46" spans="1:20" ht="14" customHeight="1" x14ac:dyDescent="0.15">
      <c r="A46" s="238" t="s">
        <v>361</v>
      </c>
      <c r="E46" s="380">
        <f>PrSept!E234</f>
        <v>0</v>
      </c>
      <c r="F46" s="381">
        <f>PrSept!F234</f>
        <v>0</v>
      </c>
      <c r="G46" s="381">
        <f>PrSept!G234</f>
        <v>0</v>
      </c>
      <c r="H46" s="382"/>
      <c r="I46" s="383"/>
      <c r="J46" s="383"/>
      <c r="K46" s="383"/>
      <c r="L46" s="383"/>
      <c r="M46" s="383"/>
      <c r="N46" s="383"/>
      <c r="O46" s="238" t="s">
        <v>361</v>
      </c>
    </row>
    <row r="47" spans="1:20" ht="14" customHeight="1" x14ac:dyDescent="0.15">
      <c r="A47" s="238" t="s">
        <v>362</v>
      </c>
      <c r="E47" s="384">
        <f>IF(PrSept!E90-Etatsfin!J35+PrSept!E150&lt;0,"n/d ",PrSept!E90-Etatsfin!J35+PrSept!E150)</f>
        <v>0</v>
      </c>
      <c r="F47" s="381">
        <f>IF(PrSept!F90-PrSept!E90+PrSept!F150&lt;0,"n/d ",PrSept!F90-PrSept!E90+PrSept!F150)</f>
        <v>18853.378000000001</v>
      </c>
      <c r="G47" s="381" t="str">
        <f>IF(PrSept!G90-PrSept!F90+PrSept!G150&lt;0,"n/d ",PrSept!G90-PrSept!F90+PrSept!G150)</f>
        <v xml:space="preserve">n/d </v>
      </c>
      <c r="H47" s="383"/>
      <c r="I47" s="383"/>
      <c r="J47" s="383"/>
      <c r="K47" s="383"/>
      <c r="L47" s="383"/>
      <c r="M47" s="383"/>
      <c r="N47" s="383"/>
      <c r="O47" s="238" t="s">
        <v>362</v>
      </c>
    </row>
    <row r="48" spans="1:20" ht="14" customHeight="1" x14ac:dyDescent="0.15">
      <c r="A48" s="238" t="s">
        <v>363</v>
      </c>
      <c r="E48" s="385">
        <f>PrSept!E150</f>
        <v>0</v>
      </c>
      <c r="F48" s="386">
        <f>PrSept!F150</f>
        <v>2220.1570000000002</v>
      </c>
      <c r="G48" s="386">
        <f>PrSept!G150</f>
        <v>0</v>
      </c>
      <c r="H48" s="387"/>
      <c r="I48" s="387"/>
      <c r="J48" s="387"/>
      <c r="K48" s="387"/>
      <c r="L48" s="387"/>
      <c r="M48" s="387"/>
      <c r="N48" s="387"/>
      <c r="O48" s="238" t="s">
        <v>363</v>
      </c>
    </row>
    <row r="49" spans="1:20" s="292" customFormat="1" ht="20" customHeight="1" x14ac:dyDescent="0.15">
      <c r="A49" s="353" t="s">
        <v>578</v>
      </c>
      <c r="B49" s="354" t="s">
        <v>364</v>
      </c>
      <c r="C49" s="354"/>
      <c r="D49" s="354"/>
      <c r="H49" s="388"/>
      <c r="O49" s="355" t="s">
        <v>579</v>
      </c>
      <c r="P49" s="342"/>
      <c r="Q49" s="342"/>
      <c r="R49" s="342"/>
      <c r="S49" s="342"/>
      <c r="T49" s="342"/>
    </row>
    <row r="50" spans="1:20" ht="14" customHeight="1" x14ac:dyDescent="0.15">
      <c r="A50" s="238" t="s">
        <v>365</v>
      </c>
      <c r="E50" s="389">
        <f>PrSept!E12</f>
        <v>132.08756050204073</v>
      </c>
      <c r="F50" s="390">
        <f>PrSept!F12</f>
        <v>204.16989007341931</v>
      </c>
      <c r="G50" s="390">
        <f>PrSept!G12</f>
        <v>99.036897493059541</v>
      </c>
      <c r="H50" s="391"/>
      <c r="I50" s="391"/>
      <c r="J50" s="391"/>
      <c r="K50" s="391"/>
      <c r="L50" s="391"/>
      <c r="M50" s="391"/>
      <c r="N50" s="391"/>
      <c r="O50" s="238" t="s">
        <v>365</v>
      </c>
    </row>
    <row r="51" spans="1:20" ht="14" customHeight="1" x14ac:dyDescent="0.15">
      <c r="A51" s="238" t="s">
        <v>366</v>
      </c>
      <c r="E51" s="392">
        <f>IF(PrSept!E104=0,"n/d ",(PrSept!E45/PrSept!E104)*360*PrSept!R27)</f>
        <v>28.857895463448266</v>
      </c>
      <c r="F51" s="393">
        <f>IF(PrSept!F104=0,"n/d ",(PrSept!F45/PrSept!F104)*360*PrSept!S27)</f>
        <v>50.463787434206218</v>
      </c>
      <c r="G51" s="394">
        <f>IF(PrSept!G104=0,"n/d ",(PrSept!G45/PrSept!G104)*360*PrSept!T27)</f>
        <v>85.46893706218637</v>
      </c>
      <c r="H51" s="395"/>
      <c r="I51" s="395"/>
      <c r="J51" s="395"/>
      <c r="K51" s="395"/>
      <c r="L51" s="395"/>
      <c r="M51" s="395"/>
      <c r="N51" s="395"/>
      <c r="O51" s="238" t="s">
        <v>366</v>
      </c>
    </row>
    <row r="52" spans="1:20" ht="14" customHeight="1" x14ac:dyDescent="0.15">
      <c r="A52" s="238" t="s">
        <v>367</v>
      </c>
      <c r="E52" s="396">
        <f>IF(PrSept!E104=0,"n/d ",(PrSept!E46/PrSept!E104)*360*PrSept!R27)</f>
        <v>21.05300667414555</v>
      </c>
      <c r="F52" s="397">
        <f>IF(PrSept!F104=0,"n/d ",(PrSept!F46/PrSept!F104)*360*PrSept!S27)</f>
        <v>25.761973718298524</v>
      </c>
      <c r="G52" s="397">
        <f>IF(PrSept!G104=0,"n/d ",(PrSept!G46/PrSept!G104)*360*PrSept!T27)</f>
        <v>17.405104496167461</v>
      </c>
      <c r="H52" s="395"/>
      <c r="I52" s="395"/>
      <c r="J52" s="395"/>
      <c r="K52" s="395"/>
      <c r="L52" s="395"/>
      <c r="M52" s="395"/>
      <c r="N52" s="395"/>
      <c r="O52" s="238" t="s">
        <v>367</v>
      </c>
    </row>
    <row r="53" spans="1:20" ht="14" customHeight="1" x14ac:dyDescent="0.15">
      <c r="A53" s="238" t="s">
        <v>580</v>
      </c>
      <c r="E53" s="396">
        <f>PrSept!E14</f>
        <v>116.30174317880423</v>
      </c>
      <c r="F53" s="397">
        <f>PrSept!F14</f>
        <v>66.185618838639641</v>
      </c>
      <c r="G53" s="397">
        <f>PrSept!G14</f>
        <v>86.517676077284335</v>
      </c>
      <c r="H53" s="395"/>
      <c r="I53" s="395"/>
      <c r="J53" s="395"/>
      <c r="K53" s="395"/>
      <c r="L53" s="395"/>
      <c r="M53" s="395"/>
      <c r="N53" s="395"/>
      <c r="O53" s="238" t="s">
        <v>368</v>
      </c>
    </row>
    <row r="54" spans="1:20" ht="14" customHeight="1" x14ac:dyDescent="0.15">
      <c r="A54" s="238" t="s">
        <v>369</v>
      </c>
      <c r="E54" s="396">
        <f>IF(PrSept!E104=0,"n/d ",(PrSept!E76/PrSept!E104)*360*PrSept!R27)</f>
        <v>0.14883155511469157</v>
      </c>
      <c r="F54" s="397">
        <f>IF(PrSept!F104=0,"n/d ",(PrSept!F76/PrSept!F104)*360*PrSept!S27)</f>
        <v>0</v>
      </c>
      <c r="G54" s="397">
        <f>IF(PrSept!G104=0,"n/d ",(PrSept!G76/PrSept!G104)*360*PrSept!T27)</f>
        <v>0</v>
      </c>
      <c r="H54" s="395"/>
      <c r="I54" s="395"/>
      <c r="J54" s="395"/>
      <c r="K54" s="395"/>
      <c r="L54" s="395"/>
      <c r="M54" s="395"/>
      <c r="N54" s="395"/>
      <c r="O54" s="238" t="s">
        <v>369</v>
      </c>
    </row>
    <row r="55" spans="1:20" s="276" customFormat="1" ht="14" customHeight="1" x14ac:dyDescent="0.15">
      <c r="A55" s="238" t="s">
        <v>581</v>
      </c>
      <c r="E55" s="398">
        <f>IF(PrSept!E104=0,"n/d ",((PrSept!E78-PrSept!E79)/PrSept!E104)*360*PrSept!R27)</f>
        <v>8.1526450659190797</v>
      </c>
      <c r="F55" s="399">
        <f>IF(PrSept!F104=0,"n/d ",((PrSept!F78-PrSept!F79)/PrSept!F104)*360*PrSept!S27)</f>
        <v>98.813893958369547</v>
      </c>
      <c r="G55" s="399">
        <f>IF(PrSept!G104=0,"n/d ",((PrSept!G78-PrSept!G79)/PrSept!G104)*360*PrSept!T27)</f>
        <v>9.7066689042710408</v>
      </c>
      <c r="H55" s="400"/>
      <c r="I55" s="400"/>
      <c r="J55" s="400"/>
      <c r="K55" s="400"/>
      <c r="L55" s="400"/>
      <c r="M55" s="400"/>
      <c r="N55" s="400"/>
      <c r="O55" s="238" t="s">
        <v>581</v>
      </c>
    </row>
    <row r="56" spans="1:20" s="276" customFormat="1" ht="20" customHeight="1" x14ac:dyDescent="0.15">
      <c r="A56" s="305" t="s">
        <v>582</v>
      </c>
      <c r="B56" s="325" t="str">
        <f>CONCATENATE("(en ",PrSept!O21,")")</f>
        <v>(en KF)</v>
      </c>
      <c r="C56" s="401"/>
      <c r="D56" s="401"/>
      <c r="E56" s="402"/>
      <c r="F56" s="402"/>
      <c r="G56" s="402"/>
      <c r="H56" s="403"/>
      <c r="I56" s="403"/>
      <c r="J56" s="403"/>
      <c r="K56" s="403"/>
      <c r="L56" s="403"/>
      <c r="M56" s="403"/>
      <c r="N56" s="403"/>
      <c r="O56" s="322" t="s">
        <v>370</v>
      </c>
      <c r="P56" s="238"/>
      <c r="Q56" s="238"/>
      <c r="R56" s="404" t="str">
        <f>B56</f>
        <v>(en KF)</v>
      </c>
      <c r="S56" s="405"/>
    </row>
    <row r="57" spans="1:20" ht="14" customHeight="1" x14ac:dyDescent="0.15">
      <c r="A57" s="238" t="s">
        <v>583</v>
      </c>
      <c r="E57" s="376">
        <f>PrSept!E257</f>
        <v>1500.076560000005</v>
      </c>
      <c r="F57" s="377">
        <f>PrSept!F257</f>
        <v>-25.002710000004299</v>
      </c>
      <c r="G57" s="377">
        <f>PrSept!G257</f>
        <v>2463.1409999999814</v>
      </c>
      <c r="H57" s="378"/>
      <c r="I57" s="378"/>
      <c r="J57" s="378"/>
      <c r="K57" s="378"/>
      <c r="L57" s="378"/>
      <c r="M57" s="378"/>
      <c r="N57" s="378"/>
      <c r="O57" s="238" t="s">
        <v>583</v>
      </c>
    </row>
    <row r="58" spans="1:20" ht="14" customHeight="1" x14ac:dyDescent="0.15">
      <c r="A58" s="238" t="s">
        <v>584</v>
      </c>
      <c r="E58" s="406">
        <f>PrSept!E224</f>
        <v>-3.5000000207219273E-4</v>
      </c>
      <c r="F58" s="407">
        <f>PrSept!F224</f>
        <v>-47277.542649999996</v>
      </c>
      <c r="G58" s="407" t="e">
        <f>PrSept!G224</f>
        <v>#REF!</v>
      </c>
      <c r="H58" s="408"/>
      <c r="I58" s="409"/>
      <c r="J58" s="409"/>
      <c r="K58" s="409"/>
      <c r="L58" s="409"/>
      <c r="M58" s="409"/>
      <c r="N58" s="409"/>
      <c r="O58" s="238" t="s">
        <v>371</v>
      </c>
    </row>
    <row r="59" spans="1:20" ht="20" customHeight="1" x14ac:dyDescent="0.15">
      <c r="A59" s="238" t="s">
        <v>585</v>
      </c>
      <c r="E59" s="380">
        <f>PrSept!E232</f>
        <v>0</v>
      </c>
      <c r="F59" s="381">
        <f>PrSept!F232</f>
        <v>0</v>
      </c>
      <c r="G59" s="381">
        <f>PrSept!G232</f>
        <v>0</v>
      </c>
      <c r="H59" s="383"/>
      <c r="I59" s="383"/>
      <c r="J59" s="383"/>
      <c r="K59" s="383"/>
      <c r="L59" s="383"/>
      <c r="M59" s="383"/>
      <c r="N59" s="383"/>
      <c r="O59" s="238" t="s">
        <v>372</v>
      </c>
    </row>
    <row r="60" spans="1:20" ht="14" customHeight="1" x14ac:dyDescent="0.15">
      <c r="A60" s="410" t="s">
        <v>586</v>
      </c>
      <c r="E60" s="411" t="s">
        <v>373</v>
      </c>
      <c r="F60" s="412"/>
      <c r="G60" s="413"/>
      <c r="H60" s="414"/>
      <c r="I60" s="383"/>
      <c r="J60" s="383"/>
      <c r="K60" s="383"/>
      <c r="L60" s="383"/>
      <c r="M60" s="383"/>
      <c r="N60" s="383"/>
      <c r="O60" s="415" t="s">
        <v>374</v>
      </c>
    </row>
    <row r="61" spans="1:20" ht="14" customHeight="1" x14ac:dyDescent="0.15">
      <c r="A61" s="410" t="s">
        <v>587</v>
      </c>
      <c r="E61" s="384">
        <f>E44-(PrSept!E32-Etatsfin!D14)-PrSept!E143+PrSept!E113</f>
        <v>3.637978807091713E-12</v>
      </c>
      <c r="F61" s="381">
        <f>F44-(PrSept!F32-PrSept!E32)-PrSept!F143+PrSept!F113</f>
        <v>23322.944333333333</v>
      </c>
      <c r="G61" s="381">
        <f>G44-(PrSept!G32-PrSept!F32)-PrSept!G143+PrSept!G113</f>
        <v>53131.535000000003</v>
      </c>
      <c r="H61" s="383"/>
      <c r="I61" s="383"/>
      <c r="J61" s="383"/>
      <c r="K61" s="383"/>
      <c r="L61" s="383"/>
      <c r="M61" s="383"/>
      <c r="N61" s="383"/>
      <c r="O61" s="415" t="s">
        <v>375</v>
      </c>
    </row>
    <row r="62" spans="1:20" ht="14" customHeight="1" x14ac:dyDescent="0.15">
      <c r="A62" s="410" t="s">
        <v>588</v>
      </c>
      <c r="B62" s="416"/>
      <c r="E62" s="417" t="s">
        <v>376</v>
      </c>
      <c r="F62" s="418"/>
      <c r="G62" s="419"/>
      <c r="H62" s="420"/>
      <c r="I62" s="420"/>
      <c r="J62" s="420"/>
      <c r="K62" s="420"/>
      <c r="L62" s="420"/>
      <c r="M62" s="420"/>
      <c r="N62" s="420"/>
      <c r="O62" s="415" t="s">
        <v>377</v>
      </c>
    </row>
    <row r="63" spans="1:20" ht="20" customHeight="1" x14ac:dyDescent="0.15">
      <c r="A63" s="238" t="s">
        <v>589</v>
      </c>
      <c r="E63" s="421">
        <f>PrSept!E156</f>
        <v>-1.7999999963649316E-2</v>
      </c>
      <c r="F63" s="422">
        <f>PrSept!F156</f>
        <v>-9.0298880106274737E-2</v>
      </c>
      <c r="G63" s="423">
        <f>PrSept!G156</f>
        <v>844.24199999994426</v>
      </c>
      <c r="H63" s="424"/>
      <c r="I63" s="424"/>
      <c r="J63" s="424"/>
      <c r="K63" s="424"/>
      <c r="L63" s="424"/>
      <c r="M63" s="424"/>
      <c r="N63" s="424"/>
      <c r="O63" s="238" t="s">
        <v>378</v>
      </c>
    </row>
    <row r="64" spans="1:20" ht="14" customHeight="1" x14ac:dyDescent="0.15">
      <c r="A64" s="238" t="s">
        <v>590</v>
      </c>
      <c r="E64" s="421">
        <f>PrSept!E157</f>
        <v>0</v>
      </c>
      <c r="F64" s="422">
        <f>PrSept!F157</f>
        <v>0</v>
      </c>
      <c r="G64" s="423">
        <f>PrSept!G157</f>
        <v>0</v>
      </c>
      <c r="H64" s="424"/>
      <c r="I64" s="424"/>
      <c r="J64" s="424"/>
      <c r="K64" s="424"/>
      <c r="L64" s="424"/>
      <c r="M64" s="424"/>
      <c r="N64" s="424"/>
      <c r="O64" s="238" t="s">
        <v>379</v>
      </c>
    </row>
    <row r="65" spans="1:18" ht="14" customHeight="1" x14ac:dyDescent="0.15">
      <c r="A65" s="238" t="s">
        <v>380</v>
      </c>
      <c r="E65" s="425">
        <f>Saisie!F180</f>
        <v>0</v>
      </c>
      <c r="F65" s="426">
        <f>Saisie!G180</f>
        <v>0</v>
      </c>
      <c r="G65" s="426">
        <f>Saisie!H180</f>
        <v>0</v>
      </c>
      <c r="H65" s="427"/>
      <c r="I65" s="427"/>
      <c r="J65" s="427"/>
      <c r="K65" s="427"/>
      <c r="L65" s="427"/>
      <c r="M65" s="427"/>
      <c r="N65" s="427"/>
      <c r="O65" s="238" t="s">
        <v>381</v>
      </c>
    </row>
    <row r="66" spans="1:18" ht="14" customHeight="1" x14ac:dyDescent="0.15">
      <c r="A66" s="238" t="s">
        <v>382</v>
      </c>
      <c r="E66" s="380">
        <f>PrSept!E160</f>
        <v>0</v>
      </c>
      <c r="F66" s="381">
        <f>PrSept!F160</f>
        <v>0</v>
      </c>
      <c r="G66" s="428">
        <f>PrSept!G160</f>
        <v>0</v>
      </c>
      <c r="H66" s="414"/>
      <c r="I66" s="414"/>
      <c r="J66" s="414"/>
      <c r="K66" s="414"/>
      <c r="L66" s="414"/>
      <c r="M66" s="414"/>
      <c r="N66" s="414"/>
      <c r="O66" s="238" t="s">
        <v>382</v>
      </c>
    </row>
    <row r="67" spans="1:18" ht="14" customHeight="1" x14ac:dyDescent="0.15">
      <c r="A67" s="238" t="s">
        <v>383</v>
      </c>
      <c r="E67" s="406">
        <f>PrSept!E161</f>
        <v>5896.4235400000471</v>
      </c>
      <c r="F67" s="407">
        <f>PrSept!F161</f>
        <v>-11395.678560000029</v>
      </c>
      <c r="G67" s="429">
        <f>PrSept!G161</f>
        <v>2776.9540000000002</v>
      </c>
      <c r="H67" s="430"/>
      <c r="I67" s="430"/>
      <c r="J67" s="430"/>
      <c r="K67" s="430"/>
      <c r="L67" s="430"/>
      <c r="M67" s="430"/>
      <c r="N67" s="430"/>
      <c r="O67" s="238" t="s">
        <v>383</v>
      </c>
    </row>
    <row r="68" spans="1:18" ht="20" customHeight="1" x14ac:dyDescent="0.15">
      <c r="A68" s="238" t="s">
        <v>384</v>
      </c>
      <c r="E68" s="431"/>
      <c r="F68" s="432"/>
      <c r="G68" s="433">
        <f>Saisie!H79-Saisie!H110</f>
        <v>0</v>
      </c>
      <c r="H68" s="434"/>
      <c r="I68" s="434"/>
      <c r="J68" s="434"/>
      <c r="K68" s="434"/>
      <c r="L68" s="434"/>
      <c r="M68" s="434"/>
      <c r="N68" s="434"/>
      <c r="O68" s="238" t="s">
        <v>385</v>
      </c>
    </row>
    <row r="69" spans="1:18" ht="20" customHeight="1" x14ac:dyDescent="0.15">
      <c r="A69" s="238" t="s">
        <v>591</v>
      </c>
      <c r="E69" s="435">
        <f>IF(PrSept!E104=0,"n/d ",(PrSept!E89/PrSept!E104)*360*PrSept!R27)</f>
        <v>0</v>
      </c>
      <c r="F69" s="436">
        <f>IF(PrSept!F104=0,"n/d ",(PrSept!F89/PrSept!F104)*360*PrSept!S27)</f>
        <v>0</v>
      </c>
      <c r="G69" s="437">
        <f>IF(PrSept!G104=0,"n/d ",(PrSept!G89/PrSept!G104)*360*PrSept!T27)</f>
        <v>0</v>
      </c>
      <c r="H69" s="438"/>
      <c r="I69" s="438"/>
      <c r="J69" s="438"/>
      <c r="K69" s="438"/>
      <c r="L69" s="438"/>
      <c r="M69" s="438"/>
      <c r="N69" s="438"/>
      <c r="O69" s="238" t="s">
        <v>386</v>
      </c>
    </row>
    <row r="70" spans="1:18" ht="33" customHeight="1" x14ac:dyDescent="0.15">
      <c r="A70" s="439" t="s">
        <v>387</v>
      </c>
      <c r="B70" s="439"/>
      <c r="C70" s="439"/>
      <c r="D70" s="439"/>
      <c r="E70" s="440">
        <f>PrSept!E47</f>
        <v>126419.96103000001</v>
      </c>
      <c r="F70" s="441">
        <f>PrSept!F47</f>
        <v>22728.054</v>
      </c>
      <c r="G70" s="442">
        <f>PrSept!G47</f>
        <v>104619.69899999999</v>
      </c>
      <c r="H70" s="443"/>
      <c r="I70" s="443"/>
      <c r="J70" s="443"/>
      <c r="K70" s="443"/>
      <c r="L70" s="443"/>
      <c r="M70" s="443"/>
      <c r="N70" s="443"/>
      <c r="O70" s="279" t="s">
        <v>387</v>
      </c>
      <c r="P70" s="279"/>
      <c r="Q70" s="279"/>
      <c r="R70" s="279"/>
    </row>
    <row r="71" spans="1:18" ht="14" customHeight="1" x14ac:dyDescent="0.15">
      <c r="E71" s="444"/>
      <c r="F71" s="444"/>
      <c r="G71" s="444"/>
      <c r="H71" s="238"/>
      <c r="M71" s="445"/>
      <c r="N71" s="446" t="s">
        <v>102</v>
      </c>
    </row>
    <row r="72" spans="1:18" ht="14" customHeight="1" x14ac:dyDescent="0.15">
      <c r="A72" s="1209"/>
      <c r="B72" s="1209"/>
      <c r="C72" s="1209"/>
      <c r="D72" s="1209"/>
      <c r="E72" s="1210"/>
      <c r="F72" s="1210"/>
      <c r="G72" s="1210"/>
      <c r="H72" s="1211"/>
      <c r="I72" s="1212"/>
      <c r="M72" s="445"/>
      <c r="N72" s="446"/>
    </row>
    <row r="73" spans="1:18" ht="15" customHeight="1" x14ac:dyDescent="0.15">
      <c r="A73" s="447" t="s">
        <v>388</v>
      </c>
      <c r="B73" s="276"/>
      <c r="C73" s="276"/>
      <c r="D73" s="276"/>
      <c r="E73" s="277"/>
      <c r="F73" s="277"/>
      <c r="G73" s="277"/>
      <c r="H73" s="278"/>
      <c r="I73" s="448"/>
      <c r="J73" s="448"/>
    </row>
    <row r="74" spans="1:18" ht="15" customHeight="1" x14ac:dyDescent="0.15">
      <c r="A74" s="447"/>
      <c r="B74" s="276"/>
      <c r="C74" s="276"/>
      <c r="D74" s="276"/>
      <c r="E74" s="277"/>
      <c r="F74" s="277"/>
      <c r="G74" s="277"/>
      <c r="H74" s="278"/>
      <c r="I74" s="448"/>
      <c r="J74" s="448"/>
    </row>
    <row r="75" spans="1:18" ht="14" customHeight="1" x14ac:dyDescent="0.15">
      <c r="A75" s="449" t="s">
        <v>389</v>
      </c>
      <c r="B75" s="276"/>
      <c r="C75" s="276"/>
      <c r="D75" s="276"/>
      <c r="E75" s="277"/>
      <c r="F75" s="277"/>
      <c r="G75" s="277"/>
      <c r="H75" s="278"/>
      <c r="I75" s="439"/>
      <c r="J75" s="255"/>
    </row>
    <row r="76" spans="1:18" ht="15" customHeight="1" x14ac:dyDescent="0.15">
      <c r="A76" s="270" t="s">
        <v>390</v>
      </c>
      <c r="B76" s="276"/>
      <c r="C76" s="276"/>
      <c r="D76" s="276"/>
      <c r="E76" s="277"/>
      <c r="F76" s="277"/>
      <c r="G76" s="277"/>
      <c r="H76" s="278"/>
      <c r="I76" s="448"/>
      <c r="J76" s="448"/>
    </row>
    <row r="77" spans="1:18" ht="15" customHeight="1" x14ac:dyDescent="0.15">
      <c r="A77" s="270" t="s">
        <v>391</v>
      </c>
      <c r="B77" s="276"/>
      <c r="C77" s="276"/>
      <c r="D77" s="276"/>
      <c r="E77" s="277"/>
      <c r="F77" s="277"/>
      <c r="G77" s="277"/>
      <c r="H77" s="278"/>
      <c r="I77" s="448"/>
      <c r="J77" s="448"/>
    </row>
    <row r="78" spans="1:18" ht="15" customHeight="1" x14ac:dyDescent="0.15">
      <c r="A78" s="270" t="s">
        <v>592</v>
      </c>
      <c r="B78" s="276"/>
      <c r="C78" s="276"/>
      <c r="D78" s="276"/>
      <c r="E78" s="277"/>
      <c r="F78" s="277"/>
      <c r="G78" s="277"/>
      <c r="H78" s="278"/>
      <c r="I78" s="448"/>
      <c r="J78" s="448"/>
    </row>
    <row r="79" spans="1:18" ht="15" customHeight="1" x14ac:dyDescent="0.15">
      <c r="A79" s="270" t="s">
        <v>392</v>
      </c>
      <c r="B79" s="276"/>
      <c r="C79" s="276"/>
      <c r="D79" s="276"/>
      <c r="E79" s="277"/>
      <c r="F79" s="277"/>
      <c r="G79" s="277"/>
      <c r="H79" s="278"/>
      <c r="I79" s="448"/>
      <c r="J79" s="448"/>
    </row>
    <row r="80" spans="1:18" ht="15" customHeight="1" x14ac:dyDescent="0.15">
      <c r="A80" s="270"/>
      <c r="B80" s="276"/>
      <c r="C80" s="276"/>
      <c r="D80" s="276"/>
      <c r="E80" s="277"/>
      <c r="F80" s="277"/>
      <c r="G80" s="277"/>
      <c r="H80" s="278"/>
      <c r="I80" s="448"/>
      <c r="J80" s="448"/>
    </row>
    <row r="81" spans="1:14" ht="15" customHeight="1" x14ac:dyDescent="0.15">
      <c r="A81" s="450" t="s">
        <v>393</v>
      </c>
      <c r="B81" s="276"/>
      <c r="C81" s="276"/>
      <c r="D81" s="276"/>
      <c r="E81" s="277"/>
      <c r="F81" s="277"/>
      <c r="G81" s="277"/>
      <c r="H81" s="278"/>
      <c r="I81" s="439"/>
      <c r="J81" s="439"/>
    </row>
    <row r="82" spans="1:14" x14ac:dyDescent="0.15">
      <c r="A82" s="450" t="s">
        <v>394</v>
      </c>
      <c r="B82" s="276"/>
      <c r="C82" s="276"/>
      <c r="D82" s="276"/>
      <c r="E82" s="277"/>
      <c r="F82" s="277"/>
      <c r="G82" s="277"/>
      <c r="H82" s="451"/>
      <c r="I82" s="452"/>
      <c r="J82" s="452"/>
      <c r="K82" s="453"/>
      <c r="L82" s="453"/>
      <c r="M82" s="453"/>
      <c r="N82" s="453"/>
    </row>
    <row r="83" spans="1:14" ht="15" customHeight="1" x14ac:dyDescent="0.15">
      <c r="A83" s="276" t="s">
        <v>395</v>
      </c>
      <c r="B83" s="276"/>
      <c r="C83" s="276"/>
      <c r="D83" s="276"/>
      <c r="E83" s="277"/>
      <c r="F83" s="277"/>
      <c r="G83" s="277"/>
      <c r="H83" s="278"/>
      <c r="I83" s="448"/>
      <c r="J83" s="448"/>
    </row>
    <row r="84" spans="1:14" ht="15" customHeight="1" x14ac:dyDescent="0.15">
      <c r="A84" s="276" t="s">
        <v>396</v>
      </c>
      <c r="B84" s="276"/>
      <c r="C84" s="276"/>
      <c r="D84" s="276"/>
      <c r="E84" s="277"/>
      <c r="F84" s="277"/>
      <c r="G84" s="277"/>
      <c r="H84" s="278"/>
      <c r="I84" s="448"/>
      <c r="J84" s="448"/>
    </row>
    <row r="85" spans="1:14" ht="15" customHeight="1" x14ac:dyDescent="0.15">
      <c r="A85" s="276" t="s">
        <v>397</v>
      </c>
      <c r="B85" s="276"/>
      <c r="C85" s="276"/>
      <c r="D85" s="276"/>
      <c r="E85" s="277"/>
      <c r="F85" s="277"/>
      <c r="G85" s="277"/>
      <c r="H85" s="278"/>
    </row>
    <row r="86" spans="1:14" ht="15" customHeight="1" x14ac:dyDescent="0.15">
      <c r="A86" s="276"/>
      <c r="B86" s="276"/>
      <c r="C86" s="276"/>
      <c r="D86" s="276"/>
      <c r="E86" s="277"/>
      <c r="F86" s="277"/>
      <c r="G86" s="277"/>
      <c r="H86" s="278"/>
    </row>
    <row r="87" spans="1:14" ht="15" customHeight="1" x14ac:dyDescent="0.15">
      <c r="A87" s="450" t="s">
        <v>398</v>
      </c>
      <c r="B87" s="276"/>
      <c r="C87" s="276"/>
      <c r="D87" s="276"/>
      <c r="E87" s="277"/>
      <c r="F87" s="277"/>
      <c r="G87" s="277"/>
      <c r="H87" s="278"/>
    </row>
    <row r="88" spans="1:14" ht="15" customHeight="1" x14ac:dyDescent="0.15">
      <c r="A88" s="450" t="s">
        <v>399</v>
      </c>
      <c r="B88" s="276"/>
      <c r="C88" s="276"/>
      <c r="D88" s="276"/>
      <c r="E88" s="277"/>
      <c r="F88" s="277"/>
      <c r="G88" s="277"/>
      <c r="H88" s="278"/>
    </row>
    <row r="89" spans="1:14" ht="15" customHeight="1" x14ac:dyDescent="0.15">
      <c r="A89" s="450" t="s">
        <v>400</v>
      </c>
      <c r="B89" s="276"/>
      <c r="C89" s="276"/>
      <c r="D89" s="276"/>
      <c r="E89" s="277"/>
      <c r="F89" s="277"/>
      <c r="G89" s="277"/>
      <c r="H89" s="278"/>
    </row>
    <row r="90" spans="1:14" ht="15" customHeight="1" x14ac:dyDescent="0.15">
      <c r="A90" s="454" t="s">
        <v>401</v>
      </c>
      <c r="B90" s="308"/>
      <c r="C90" s="308"/>
      <c r="D90" s="308"/>
      <c r="E90" s="455"/>
      <c r="F90" s="455"/>
      <c r="G90" s="455"/>
      <c r="H90" s="456"/>
      <c r="I90" s="448"/>
      <c r="J90" s="448"/>
    </row>
  </sheetData>
  <phoneticPr fontId="10" type="noConversion"/>
  <printOptions horizontalCentered="1" verticalCentered="1" gridLines="1"/>
  <pageMargins left="0" right="0" top="0" bottom="0" header="0" footer="0"/>
  <pageSetup paperSize="9" scale="81" orientation="landscape" horizontalDpi="4294967292" verticalDpi="4294967292"/>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28B55"/>
  </sheetPr>
  <dimension ref="A1:AA316"/>
  <sheetViews>
    <sheetView showGridLines="0" topLeftCell="A17" zoomScale="75" workbookViewId="0">
      <selection activeCell="A17" sqref="A17"/>
    </sheetView>
  </sheetViews>
  <sheetFormatPr baseColWidth="10" defaultColWidth="12.6640625" defaultRowHeight="14" customHeight="1" outlineLevelRow="1" x14ac:dyDescent="0.15"/>
  <cols>
    <col min="1" max="1" width="41.6640625" style="255" customWidth="1"/>
    <col min="2" max="2" width="12.5" style="255" customWidth="1"/>
    <col min="3" max="3" width="7.33203125" style="255" hidden="1" customWidth="1"/>
    <col min="4" max="4" width="11.5" style="255" hidden="1" customWidth="1"/>
    <col min="5" max="7" width="12.6640625" style="457" customWidth="1"/>
    <col min="8" max="8" width="13" style="457" customWidth="1"/>
    <col min="9" max="15" width="12.6640625" style="255" customWidth="1"/>
    <col min="16" max="19" width="12.6640625" style="255"/>
    <col min="20" max="20" width="12.6640625" style="255" customWidth="1"/>
    <col min="21" max="23" width="12.6640625" style="255"/>
    <col min="24" max="24" width="12.6640625" style="255" customWidth="1"/>
    <col min="25" max="16384" width="12.6640625" style="255"/>
  </cols>
  <sheetData>
    <row r="1" spans="1:19" ht="30" hidden="1" x14ac:dyDescent="0.15">
      <c r="A1" s="458" t="s">
        <v>593</v>
      </c>
      <c r="B1" s="459"/>
      <c r="C1" s="459"/>
      <c r="D1" s="459"/>
      <c r="E1" s="241"/>
      <c r="F1" s="241"/>
      <c r="G1" s="241"/>
      <c r="H1" s="460">
        <f t="shared" ref="H1:N1" si="0">H26</f>
        <v>40909</v>
      </c>
      <c r="I1" s="460">
        <f t="shared" si="0"/>
        <v>41275</v>
      </c>
      <c r="J1" s="460">
        <f t="shared" si="0"/>
        <v>41641</v>
      </c>
      <c r="K1" s="460">
        <f t="shared" si="0"/>
        <v>42007</v>
      </c>
      <c r="L1" s="460">
        <f t="shared" si="0"/>
        <v>42373</v>
      </c>
      <c r="M1" s="460">
        <f t="shared" si="0"/>
        <v>42739</v>
      </c>
      <c r="N1" s="460">
        <f t="shared" si="0"/>
        <v>43105</v>
      </c>
      <c r="O1" s="458" t="s">
        <v>594</v>
      </c>
      <c r="P1" s="461"/>
      <c r="Q1" s="461"/>
      <c r="R1" s="462"/>
      <c r="S1" s="463"/>
    </row>
    <row r="2" spans="1:19" hidden="1" x14ac:dyDescent="0.15">
      <c r="A2" s="464" t="s">
        <v>352</v>
      </c>
      <c r="B2" s="465" t="s">
        <v>402</v>
      </c>
      <c r="C2" s="466"/>
      <c r="D2" s="466"/>
      <c r="E2" s="467"/>
      <c r="F2" s="467"/>
      <c r="G2" s="467"/>
      <c r="H2" s="468">
        <f t="shared" ref="H2:N2" si="1">H104</f>
        <v>1616204.6810000001</v>
      </c>
      <c r="I2" s="468">
        <f t="shared" si="1"/>
        <v>1616204.6810000001</v>
      </c>
      <c r="J2" s="468">
        <f t="shared" si="1"/>
        <v>1616204.6810000001</v>
      </c>
      <c r="K2" s="468">
        <f t="shared" si="1"/>
        <v>1616204.6810000001</v>
      </c>
      <c r="L2" s="468">
        <f t="shared" si="1"/>
        <v>1616204.6810000001</v>
      </c>
      <c r="M2" s="468">
        <f t="shared" si="1"/>
        <v>1616204.6810000001</v>
      </c>
      <c r="N2" s="468">
        <f t="shared" si="1"/>
        <v>1616204.6810000001</v>
      </c>
      <c r="O2" s="469"/>
      <c r="P2" s="469" t="s">
        <v>403</v>
      </c>
      <c r="Q2" s="470"/>
      <c r="R2" s="249"/>
      <c r="S2" s="471"/>
    </row>
    <row r="3" spans="1:19" hidden="1" x14ac:dyDescent="0.15">
      <c r="A3" s="472" t="str">
        <f>M20</f>
        <v>A saisir sur Hypo</v>
      </c>
      <c r="B3" s="465" t="s">
        <v>404</v>
      </c>
      <c r="C3" s="466"/>
      <c r="D3" s="466"/>
      <c r="E3" s="467"/>
      <c r="F3" s="467"/>
      <c r="G3" s="467"/>
      <c r="H3" s="468">
        <f t="shared" ref="H3:N3" si="2">H135</f>
        <v>0</v>
      </c>
      <c r="I3" s="468">
        <f t="shared" si="2"/>
        <v>0</v>
      </c>
      <c r="J3" s="468">
        <f t="shared" si="2"/>
        <v>0</v>
      </c>
      <c r="K3" s="468">
        <f t="shared" si="2"/>
        <v>0</v>
      </c>
      <c r="L3" s="468">
        <f t="shared" si="2"/>
        <v>0</v>
      </c>
      <c r="M3" s="468">
        <f t="shared" si="2"/>
        <v>0</v>
      </c>
      <c r="N3" s="468">
        <f t="shared" si="2"/>
        <v>0</v>
      </c>
      <c r="O3" s="469"/>
      <c r="P3" s="469" t="s">
        <v>404</v>
      </c>
      <c r="Q3" s="470"/>
      <c r="R3" s="249"/>
      <c r="S3" s="471"/>
    </row>
    <row r="4" spans="1:19" hidden="1" x14ac:dyDescent="0.15">
      <c r="A4" s="473"/>
      <c r="B4" s="465" t="s">
        <v>405</v>
      </c>
      <c r="C4" s="466"/>
      <c r="D4" s="466"/>
      <c r="E4" s="467"/>
      <c r="F4" s="467"/>
      <c r="G4" s="467"/>
      <c r="H4" s="468">
        <f t="shared" ref="H4:N4" si="3">H287</f>
        <v>131773.39499999999</v>
      </c>
      <c r="I4" s="468">
        <f t="shared" si="3"/>
        <v>131773.39499999999</v>
      </c>
      <c r="J4" s="468">
        <f t="shared" si="3"/>
        <v>131773.39499999999</v>
      </c>
      <c r="K4" s="468">
        <f t="shared" si="3"/>
        <v>131773.39499999999</v>
      </c>
      <c r="L4" s="468">
        <f t="shared" si="3"/>
        <v>131773.39499999999</v>
      </c>
      <c r="M4" s="468">
        <f t="shared" si="3"/>
        <v>131773.39499999999</v>
      </c>
      <c r="N4" s="468">
        <f t="shared" si="3"/>
        <v>131773.39499999999</v>
      </c>
      <c r="O4" s="469"/>
      <c r="P4" s="469" t="s">
        <v>405</v>
      </c>
      <c r="Q4" s="470"/>
      <c r="R4" s="249"/>
      <c r="S4" s="471"/>
    </row>
    <row r="5" spans="1:19" hidden="1" x14ac:dyDescent="0.15">
      <c r="A5" s="473"/>
      <c r="B5" s="465" t="s">
        <v>406</v>
      </c>
      <c r="C5" s="466"/>
      <c r="D5" s="466"/>
      <c r="E5" s="467"/>
      <c r="F5" s="467"/>
      <c r="G5" s="467"/>
      <c r="H5" s="474">
        <f t="shared" ref="H5:N5" si="4">H105</f>
        <v>0</v>
      </c>
      <c r="I5" s="474">
        <f t="shared" si="4"/>
        <v>0</v>
      </c>
      <c r="J5" s="474">
        <f t="shared" si="4"/>
        <v>0</v>
      </c>
      <c r="K5" s="474">
        <f t="shared" si="4"/>
        <v>0</v>
      </c>
      <c r="L5" s="474">
        <f t="shared" si="4"/>
        <v>0</v>
      </c>
      <c r="M5" s="474">
        <f t="shared" si="4"/>
        <v>0</v>
      </c>
      <c r="N5" s="474">
        <f t="shared" si="4"/>
        <v>0</v>
      </c>
      <c r="O5" s="469"/>
      <c r="P5" s="469" t="s">
        <v>406</v>
      </c>
      <c r="Q5" s="469"/>
      <c r="R5" s="249"/>
      <c r="S5" s="471"/>
    </row>
    <row r="6" spans="1:19" hidden="1" x14ac:dyDescent="0.15">
      <c r="A6" s="249"/>
      <c r="B6" s="475" t="s">
        <v>407</v>
      </c>
      <c r="C6" s="475"/>
      <c r="D6" s="475"/>
      <c r="E6" s="467"/>
      <c r="F6" s="467"/>
      <c r="G6" s="467"/>
      <c r="H6" s="474">
        <f t="shared" ref="H6:N6" si="5">H272</f>
        <v>0</v>
      </c>
      <c r="I6" s="474">
        <f t="shared" si="5"/>
        <v>0</v>
      </c>
      <c r="J6" s="474">
        <f t="shared" si="5"/>
        <v>0</v>
      </c>
      <c r="K6" s="474">
        <f t="shared" si="5"/>
        <v>0</v>
      </c>
      <c r="L6" s="474">
        <f t="shared" si="5"/>
        <v>0</v>
      </c>
      <c r="M6" s="474">
        <f t="shared" si="5"/>
        <v>0</v>
      </c>
      <c r="N6" s="474">
        <f t="shared" si="5"/>
        <v>0</v>
      </c>
      <c r="O6" s="249"/>
      <c r="P6" s="249" t="s">
        <v>407</v>
      </c>
      <c r="Q6" s="249"/>
      <c r="R6" s="249"/>
      <c r="S6" s="471"/>
    </row>
    <row r="7" spans="1:19" hidden="1" x14ac:dyDescent="0.15">
      <c r="A7" s="249"/>
      <c r="B7" s="475" t="s">
        <v>408</v>
      </c>
      <c r="C7" s="475"/>
      <c r="D7" s="475"/>
      <c r="E7" s="467"/>
      <c r="F7" s="467"/>
      <c r="G7" s="467"/>
      <c r="H7" s="474" t="str">
        <f t="shared" ref="H7:N7" si="6">H281</f>
        <v xml:space="preserve">n/d </v>
      </c>
      <c r="I7" s="474" t="str">
        <f t="shared" si="6"/>
        <v xml:space="preserve">n/d </v>
      </c>
      <c r="J7" s="474" t="str">
        <f t="shared" si="6"/>
        <v xml:space="preserve">n/d </v>
      </c>
      <c r="K7" s="474" t="str">
        <f t="shared" si="6"/>
        <v xml:space="preserve">n/d </v>
      </c>
      <c r="L7" s="474" t="str">
        <f t="shared" si="6"/>
        <v xml:space="preserve">n/d </v>
      </c>
      <c r="M7" s="474" t="str">
        <f t="shared" si="6"/>
        <v xml:space="preserve">n/d </v>
      </c>
      <c r="N7" s="474" t="str">
        <f t="shared" si="6"/>
        <v xml:space="preserve">n/d </v>
      </c>
      <c r="O7" s="249"/>
      <c r="P7" s="249" t="s">
        <v>408</v>
      </c>
      <c r="Q7" s="249"/>
      <c r="R7" s="249"/>
      <c r="S7" s="471"/>
    </row>
    <row r="8" spans="1:19" hidden="1" x14ac:dyDescent="0.15">
      <c r="A8" s="249"/>
      <c r="B8" s="465" t="s">
        <v>409</v>
      </c>
      <c r="C8" s="466"/>
      <c r="D8" s="466"/>
      <c r="E8" s="467"/>
      <c r="F8" s="467"/>
      <c r="G8" s="467"/>
      <c r="H8" s="468" t="str">
        <f t="shared" ref="H8:N8" si="7">H293</f>
        <v xml:space="preserve">n/d </v>
      </c>
      <c r="I8" s="468" t="str">
        <f t="shared" si="7"/>
        <v xml:space="preserve">n/d </v>
      </c>
      <c r="J8" s="468" t="str">
        <f t="shared" si="7"/>
        <v xml:space="preserve">n/d </v>
      </c>
      <c r="K8" s="468" t="str">
        <f t="shared" si="7"/>
        <v xml:space="preserve">n/d </v>
      </c>
      <c r="L8" s="468" t="str">
        <f t="shared" si="7"/>
        <v xml:space="preserve">n/d </v>
      </c>
      <c r="M8" s="468" t="str">
        <f t="shared" si="7"/>
        <v xml:space="preserve">n/d </v>
      </c>
      <c r="N8" s="468" t="str">
        <f t="shared" si="7"/>
        <v xml:space="preserve">n/d </v>
      </c>
      <c r="O8" s="249"/>
      <c r="P8" s="469" t="s">
        <v>409</v>
      </c>
      <c r="Q8" s="469"/>
      <c r="R8" s="249"/>
      <c r="S8" s="471"/>
    </row>
    <row r="9" spans="1:19" hidden="1" x14ac:dyDescent="0.15">
      <c r="A9" s="249"/>
      <c r="B9" s="475" t="s">
        <v>410</v>
      </c>
      <c r="C9" s="475"/>
      <c r="D9" s="475"/>
      <c r="E9" s="467"/>
      <c r="F9" s="467"/>
      <c r="G9" s="467"/>
      <c r="H9" s="468">
        <f t="shared" ref="H9:N9" si="8">H295</f>
        <v>0.24794584502504818</v>
      </c>
      <c r="I9" s="468" t="str">
        <f t="shared" si="8"/>
        <v xml:space="preserve">n/d </v>
      </c>
      <c r="J9" s="468" t="str">
        <f t="shared" si="8"/>
        <v xml:space="preserve">n/d </v>
      </c>
      <c r="K9" s="468" t="str">
        <f t="shared" si="8"/>
        <v xml:space="preserve">n/d </v>
      </c>
      <c r="L9" s="468" t="str">
        <f t="shared" si="8"/>
        <v xml:space="preserve">n/d </v>
      </c>
      <c r="M9" s="468" t="str">
        <f t="shared" si="8"/>
        <v xml:space="preserve">n/d </v>
      </c>
      <c r="N9" s="468" t="str">
        <f t="shared" si="8"/>
        <v xml:space="preserve">n/d </v>
      </c>
      <c r="O9" s="249"/>
      <c r="P9" s="249" t="s">
        <v>410</v>
      </c>
      <c r="Q9" s="249"/>
      <c r="R9" s="249"/>
      <c r="S9" s="471"/>
    </row>
    <row r="10" spans="1:19" hidden="1" x14ac:dyDescent="0.15">
      <c r="A10" s="249"/>
      <c r="B10" s="476" t="s">
        <v>411</v>
      </c>
      <c r="C10" s="477"/>
      <c r="D10" s="477"/>
      <c r="E10" s="467"/>
      <c r="F10" s="467"/>
      <c r="G10" s="467"/>
      <c r="H10" s="468">
        <f t="shared" ref="H10:N10" si="9">H218</f>
        <v>0</v>
      </c>
      <c r="I10" s="468">
        <f t="shared" si="9"/>
        <v>0</v>
      </c>
      <c r="J10" s="468">
        <f t="shared" si="9"/>
        <v>0</v>
      </c>
      <c r="K10" s="468">
        <f t="shared" si="9"/>
        <v>0</v>
      </c>
      <c r="L10" s="468">
        <f t="shared" si="9"/>
        <v>0</v>
      </c>
      <c r="M10" s="468">
        <f t="shared" si="9"/>
        <v>0</v>
      </c>
      <c r="N10" s="468">
        <f t="shared" si="9"/>
        <v>0</v>
      </c>
      <c r="O10" s="249"/>
      <c r="P10" s="478" t="s">
        <v>411</v>
      </c>
      <c r="Q10" s="478"/>
      <c r="R10" s="249"/>
      <c r="S10" s="471"/>
    </row>
    <row r="11" spans="1:19" hidden="1" x14ac:dyDescent="0.15">
      <c r="A11" s="249"/>
      <c r="B11" s="476"/>
      <c r="C11" s="477"/>
      <c r="D11" s="477"/>
      <c r="E11" s="460">
        <f>E26</f>
        <v>39783</v>
      </c>
      <c r="F11" s="460">
        <f>F26</f>
        <v>40178</v>
      </c>
      <c r="G11" s="460">
        <f>G26</f>
        <v>40543</v>
      </c>
      <c r="H11" s="468"/>
      <c r="I11" s="468"/>
      <c r="J11" s="468"/>
      <c r="K11" s="468"/>
      <c r="L11" s="468"/>
      <c r="M11" s="468"/>
      <c r="N11" s="468"/>
      <c r="O11" s="249"/>
      <c r="P11" s="478"/>
      <c r="Q11" s="478"/>
      <c r="R11" s="249"/>
      <c r="S11" s="471"/>
    </row>
    <row r="12" spans="1:19" hidden="1" x14ac:dyDescent="0.15">
      <c r="A12" s="249"/>
      <c r="B12" s="476" t="s">
        <v>412</v>
      </c>
      <c r="C12" s="477"/>
      <c r="D12" s="477"/>
      <c r="E12" s="479">
        <f>IF(E104=0,"n/d ",(E44/E104)*360*R27)</f>
        <v>132.08756050204073</v>
      </c>
      <c r="F12" s="479">
        <f>IF(F104=0,"n/d ",(F44/F104)*360*S27)</f>
        <v>204.16989007341931</v>
      </c>
      <c r="G12" s="479">
        <f>IF(G104=0,"n/d ",(G44/G104)*360*T27)</f>
        <v>99.036897493059541</v>
      </c>
      <c r="H12" s="479">
        <f>Hypo!H50</f>
        <v>0</v>
      </c>
      <c r="I12" s="479">
        <f>Hypo!I50</f>
        <v>0</v>
      </c>
      <c r="J12" s="479">
        <f>Hypo!J50</f>
        <v>0</v>
      </c>
      <c r="K12" s="479">
        <f>Hypo!K50</f>
        <v>0</v>
      </c>
      <c r="L12" s="479">
        <f>Hypo!L50</f>
        <v>0</v>
      </c>
      <c r="M12" s="479">
        <f>Hypo!M50</f>
        <v>0</v>
      </c>
      <c r="N12" s="479">
        <f>Hypo!N50</f>
        <v>0</v>
      </c>
      <c r="O12" s="249"/>
      <c r="P12" s="478" t="s">
        <v>412</v>
      </c>
      <c r="Q12" s="478"/>
      <c r="R12" s="249"/>
      <c r="S12" s="471"/>
    </row>
    <row r="13" spans="1:19" hidden="1" x14ac:dyDescent="0.15">
      <c r="A13" s="249"/>
      <c r="B13" s="476" t="s">
        <v>413</v>
      </c>
      <c r="C13" s="477"/>
      <c r="D13" s="477"/>
      <c r="E13" s="479">
        <f>IF(E104=0,"n/d ",((E45+E89)/E104)*360*R27)</f>
        <v>28.857895463448266</v>
      </c>
      <c r="F13" s="479">
        <f>IF(F104=0,"n/d ",((F45+F89)/F104)*360*S27)</f>
        <v>50.463787434206218</v>
      </c>
      <c r="G13" s="479">
        <f>IF(G104=0,"n/d ",((G45+G89)/G104)*360*T27)</f>
        <v>85.46893706218637</v>
      </c>
      <c r="H13" s="479">
        <f>Hypo!H51+Hypo!H69</f>
        <v>0</v>
      </c>
      <c r="I13" s="479">
        <f>Hypo!I51+Hypo!I69</f>
        <v>0</v>
      </c>
      <c r="J13" s="479">
        <f>Hypo!J51+Hypo!J69</f>
        <v>0</v>
      </c>
      <c r="K13" s="479">
        <f>Hypo!K51+Hypo!K69</f>
        <v>0</v>
      </c>
      <c r="L13" s="479">
        <f>Hypo!L51+Hypo!L69</f>
        <v>0</v>
      </c>
      <c r="M13" s="479">
        <f>Hypo!M51+Hypo!M69</f>
        <v>0</v>
      </c>
      <c r="N13" s="479">
        <f>Hypo!N51+Hypo!N69</f>
        <v>0</v>
      </c>
      <c r="O13" s="249"/>
      <c r="P13" s="478" t="s">
        <v>413</v>
      </c>
      <c r="Q13" s="478"/>
      <c r="R13" s="249"/>
      <c r="S13" s="471"/>
    </row>
    <row r="14" spans="1:19" hidden="1" x14ac:dyDescent="0.15">
      <c r="A14" s="249"/>
      <c r="B14" s="476" t="s">
        <v>414</v>
      </c>
      <c r="C14" s="477"/>
      <c r="D14" s="477"/>
      <c r="E14" s="479">
        <f>IF(E115=0,"n/d ",(E77/E115)*360*R27)</f>
        <v>116.30174317880423</v>
      </c>
      <c r="F14" s="479">
        <f>IF(F115=0,"n/d ",(F77/F115)*360*S27)</f>
        <v>66.185618838639641</v>
      </c>
      <c r="G14" s="479">
        <f>IF(G115=0,"n/d ",(G77/G115)*360*T27)</f>
        <v>86.517676077284335</v>
      </c>
      <c r="H14" s="479">
        <f>Hypo!H53</f>
        <v>0</v>
      </c>
      <c r="I14" s="479">
        <f>Hypo!I53</f>
        <v>0</v>
      </c>
      <c r="J14" s="479">
        <f>Hypo!J53</f>
        <v>0</v>
      </c>
      <c r="K14" s="479">
        <f>Hypo!K53</f>
        <v>0</v>
      </c>
      <c r="L14" s="479">
        <f>Hypo!L53</f>
        <v>0</v>
      </c>
      <c r="M14" s="479">
        <f>Hypo!M53</f>
        <v>0</v>
      </c>
      <c r="N14" s="479">
        <f>Hypo!N53</f>
        <v>0</v>
      </c>
      <c r="O14" s="249"/>
      <c r="P14" s="478" t="s">
        <v>414</v>
      </c>
      <c r="Q14" s="478"/>
      <c r="R14" s="249"/>
      <c r="S14" s="471"/>
    </row>
    <row r="15" spans="1:19" hidden="1" x14ac:dyDescent="0.15">
      <c r="A15" s="249"/>
      <c r="B15" s="480" t="s">
        <v>415</v>
      </c>
      <c r="C15" s="481"/>
      <c r="D15" s="481"/>
      <c r="E15" s="482">
        <f>Hypo!E39</f>
        <v>3.1355583139032202E-2</v>
      </c>
      <c r="F15" s="482">
        <f>Hypo!F39</f>
        <v>6.85606310777927E-2</v>
      </c>
      <c r="G15" s="482">
        <f>Hypo!G39</f>
        <v>0.13383155130001953</v>
      </c>
      <c r="H15" s="483" t="s">
        <v>416</v>
      </c>
      <c r="I15" s="250"/>
      <c r="J15" s="250"/>
      <c r="K15" s="250"/>
      <c r="L15" s="250"/>
      <c r="M15" s="250"/>
      <c r="N15" s="250"/>
      <c r="O15" s="249"/>
      <c r="P15" s="484" t="s">
        <v>415</v>
      </c>
      <c r="Q15" s="478"/>
      <c r="R15" s="249"/>
      <c r="S15" s="471"/>
    </row>
    <row r="16" spans="1:19" hidden="1" x14ac:dyDescent="0.15">
      <c r="A16" s="249"/>
      <c r="B16" s="476" t="s">
        <v>417</v>
      </c>
      <c r="C16" s="477"/>
      <c r="D16" s="477"/>
      <c r="E16" s="474">
        <f>IF(OR((Etatsfin!J17+Etatsfin!J29+Etatsfin!J34)+(E62+E80+E89)=0,R27=0,Etatsfin!D31=0,Etatsfin!J31=0),"n/d ",(E149/R27)/((Etatsfin!J17+Etatsfin!J29+Etatsfin!J34+E62+E80+E89)/2))</f>
        <v>3.1355583139032202E-2</v>
      </c>
      <c r="F16" s="474">
        <f>IF(OR((E62+E80+E89)+(F62+F80+F89)=0,S27=0,E49=0,E82=0),"n/d ",(F149/S27)/((E62+E80+E89+F62+F80+F89)/2))</f>
        <v>6.85606310777927E-2</v>
      </c>
      <c r="G16" s="474">
        <f>IF(OR((F62+F80+F89)+(G62+G80+G89)=0,T27=0,F49=0,F82=0),"n/d ",(G149/T27)/((F62+F80+F89+G62+G80+G89)/2))</f>
        <v>0.13383155130001953</v>
      </c>
      <c r="H16" s="474">
        <f>Hypo!H39</f>
        <v>0</v>
      </c>
      <c r="I16" s="474">
        <f>Hypo!I39</f>
        <v>0</v>
      </c>
      <c r="J16" s="474">
        <f>Hypo!J39</f>
        <v>0</v>
      </c>
      <c r="K16" s="474">
        <f>Hypo!K39</f>
        <v>0</v>
      </c>
      <c r="L16" s="474">
        <f>Hypo!L39</f>
        <v>0</v>
      </c>
      <c r="M16" s="474">
        <f>Hypo!M39</f>
        <v>0</v>
      </c>
      <c r="N16" s="474">
        <f>Hypo!N39</f>
        <v>0</v>
      </c>
      <c r="O16" s="249"/>
      <c r="P16" s="485" t="s">
        <v>418</v>
      </c>
      <c r="Q16" s="478"/>
      <c r="R16" s="249"/>
      <c r="S16" s="471"/>
    </row>
    <row r="17" spans="1:20" ht="14.25" customHeight="1" x14ac:dyDescent="0.15">
      <c r="A17" s="486"/>
      <c r="B17" s="487" t="s">
        <v>419</v>
      </c>
      <c r="C17" s="488"/>
      <c r="D17" s="488"/>
      <c r="E17" s="489">
        <f>IF(OR(E165+E163=0,E165&lt;=0,E163&lt;=0),"n/d ",E163/(E165+E163))</f>
        <v>0.24999981640668409</v>
      </c>
      <c r="F17" s="489">
        <f>IF(OR(F165+F163=0,F165&lt;=0,F163&lt;=0),"n/d ",F163/(F165+F163))</f>
        <v>0.24512003463746337</v>
      </c>
      <c r="G17" s="489">
        <f>IF(OR(G165+G163=0,G165&lt;=0,G163&lt;=0),"n/d ",G163/(G165+G163))</f>
        <v>0.2011208380002546</v>
      </c>
      <c r="H17" s="489">
        <f>IF(Hypo!H41&lt;0,0,Hypo!H41)</f>
        <v>0</v>
      </c>
      <c r="I17" s="489">
        <f>IF(Hypo!I41&lt;0,0,Hypo!I41)</f>
        <v>0</v>
      </c>
      <c r="J17" s="489">
        <f>IF(Hypo!J41&lt;0,0,Hypo!J41)</f>
        <v>0</v>
      </c>
      <c r="K17" s="489">
        <f>IF(Hypo!K41&lt;0,0,Hypo!K41)</f>
        <v>0</v>
      </c>
      <c r="L17" s="489">
        <f>IF(Hypo!L41&lt;0,0,Hypo!L41)</f>
        <v>0</v>
      </c>
      <c r="M17" s="489">
        <f>IF(Hypo!M41&lt;0,0,Hypo!M41)</f>
        <v>0</v>
      </c>
      <c r="N17" s="489">
        <f>IF(Hypo!N41&lt;0,0,Hypo!N41)</f>
        <v>0</v>
      </c>
      <c r="O17" s="486"/>
      <c r="P17" s="490" t="s">
        <v>420</v>
      </c>
      <c r="Q17" s="491"/>
      <c r="R17" s="486"/>
      <c r="S17" s="492"/>
    </row>
    <row r="18" spans="1:20" s="495" customFormat="1" ht="14" customHeight="1" x14ac:dyDescent="0.15">
      <c r="A18" s="493"/>
      <c r="B18" s="493"/>
      <c r="C18" s="493"/>
      <c r="D18" s="493"/>
      <c r="E18" s="493"/>
      <c r="F18" s="493"/>
      <c r="G18" s="494"/>
      <c r="L18" s="496" t="s">
        <v>349</v>
      </c>
      <c r="M18" s="497">
        <f ca="1">TODAY()</f>
        <v>46304</v>
      </c>
      <c r="N18" s="498"/>
    </row>
    <row r="19" spans="1:20" s="495" customFormat="1" ht="14" customHeight="1" x14ac:dyDescent="0.15">
      <c r="A19" s="499" t="s">
        <v>350</v>
      </c>
      <c r="B19" s="500" t="str">
        <f>Etatsfin!D2</f>
        <v>MERIPLAST</v>
      </c>
      <c r="C19" s="500"/>
      <c r="D19" s="500"/>
      <c r="E19" s="501"/>
      <c r="F19" s="502"/>
      <c r="G19" s="494"/>
      <c r="M19" s="494"/>
      <c r="N19" s="494"/>
      <c r="O19" s="503"/>
      <c r="P19" s="503"/>
    </row>
    <row r="20" spans="1:20" s="495" customFormat="1" ht="14" customHeight="1" x14ac:dyDescent="0.15">
      <c r="A20" s="499" t="s">
        <v>351</v>
      </c>
      <c r="B20" s="500" t="str">
        <f>+B19</f>
        <v>MERIPLAST</v>
      </c>
      <c r="C20" s="500"/>
      <c r="D20" s="500"/>
      <c r="E20" s="501"/>
      <c r="F20" s="502"/>
      <c r="G20" s="494"/>
      <c r="L20" s="504" t="s">
        <v>352</v>
      </c>
      <c r="M20" s="505" t="str">
        <f>IF(OR(Hypo!M25="",Hypo!M25="A saisir ici"),"A saisir sur Hypo",Hypo!M25)</f>
        <v>A saisir sur Hypo</v>
      </c>
      <c r="N20" s="506"/>
      <c r="O20" s="507" t="s">
        <v>330</v>
      </c>
      <c r="P20" s="508"/>
    </row>
    <row r="21" spans="1:20" ht="14" customHeight="1" x14ac:dyDescent="0.15">
      <c r="A21" s="296" t="s">
        <v>421</v>
      </c>
      <c r="B21" s="509" t="s">
        <v>199</v>
      </c>
      <c r="C21" s="510"/>
      <c r="D21" s="510"/>
      <c r="E21" s="255"/>
      <c r="F21" s="306"/>
      <c r="G21" s="511"/>
      <c r="H21" s="255"/>
      <c r="O21" s="512" t="str">
        <f>IF(OR(B21="",B21="Saisir sur Saisie ou Etatsfin")," montant",B21)</f>
        <v>KF</v>
      </c>
      <c r="P21" s="513" t="str">
        <f>IF(OR(B21="",B21="Saisir sur Saisie ou Etatsfin"),"Saisir sur Saisie ou Etatsfin ou PrSept",B21)</f>
        <v>KF</v>
      </c>
    </row>
    <row r="22" spans="1:20" ht="14" customHeight="1" x14ac:dyDescent="0.15">
      <c r="A22" s="514"/>
      <c r="B22" s="515"/>
      <c r="C22" s="510"/>
      <c r="D22" s="510"/>
      <c r="E22" s="510"/>
      <c r="F22" s="516" t="str">
        <f>IF(OR(G26=0,G26=""),"Date d'arrêté à saisir ci-dessous en ''G'' dans la cellule réservée à la date.","")</f>
        <v/>
      </c>
      <c r="G22" s="511"/>
      <c r="H22" s="255"/>
      <c r="O22" s="267">
        <f>Hypo!L3</f>
        <v>1</v>
      </c>
      <c r="P22" s="268">
        <f>Hypo!M3</f>
        <v>0</v>
      </c>
    </row>
    <row r="23" spans="1:20" ht="14" customHeight="1" thickBot="1" x14ac:dyDescent="0.2">
      <c r="A23" s="517" t="str">
        <f>IF(OR(G26=0,G26=""),"(Il est par ailleurs possible, comme dans ''Saisie'' ou ''Etatsfin'', d'écraser les dates des 2 premières années d'historique.)","")</f>
        <v/>
      </c>
      <c r="B23" s="518"/>
      <c r="C23" s="518"/>
      <c r="D23" s="518"/>
      <c r="E23" s="519"/>
      <c r="F23" s="310"/>
      <c r="G23" s="520"/>
      <c r="H23" s="518"/>
      <c r="I23" s="518"/>
      <c r="J23" s="518"/>
      <c r="K23" s="518"/>
      <c r="L23" s="518"/>
      <c r="M23" s="518"/>
      <c r="N23" s="518"/>
      <c r="O23" s="518"/>
      <c r="P23" s="518"/>
      <c r="Q23" s="518"/>
      <c r="R23" s="518"/>
      <c r="S23" s="518"/>
    </row>
    <row r="24" spans="1:20" s="510" customFormat="1" ht="14" customHeight="1" thickBot="1" x14ac:dyDescent="0.2">
      <c r="A24" s="521"/>
      <c r="B24" s="522"/>
      <c r="C24" s="523"/>
      <c r="D24" s="523"/>
      <c r="E24" s="524"/>
      <c r="F24" s="522"/>
      <c r="G24" s="525" t="str">
        <f>IF(OR(O24&lt;=0,O24=""),"Saisir durée, en jours, du 1er exercice historique, dans la cellule ''O'' de cette ligne, à droite  &gt;&gt;&gt;","")</f>
        <v/>
      </c>
      <c r="H24" s="526"/>
      <c r="I24" s="526"/>
      <c r="J24" s="526"/>
      <c r="K24" s="526"/>
      <c r="L24" s="526"/>
      <c r="M24" s="526"/>
      <c r="N24" s="527"/>
      <c r="O24" s="528">
        <f>Etatsfin!E5-Etatsfin!D5</f>
        <v>366</v>
      </c>
    </row>
    <row r="25" spans="1:20" s="530" customFormat="1" ht="14" customHeight="1" x14ac:dyDescent="0.2">
      <c r="A25" s="529"/>
      <c r="E25" s="531" t="s">
        <v>422</v>
      </c>
      <c r="F25" s="531"/>
      <c r="G25" s="532"/>
      <c r="H25" s="531" t="s">
        <v>423</v>
      </c>
      <c r="I25" s="318"/>
      <c r="J25" s="532"/>
      <c r="K25" s="533"/>
      <c r="L25" s="532"/>
      <c r="M25" s="532"/>
      <c r="N25" s="532"/>
      <c r="O25" s="534"/>
    </row>
    <row r="26" spans="1:20" s="510" customFormat="1" ht="14" customHeight="1" x14ac:dyDescent="0.2">
      <c r="A26" s="535" t="s">
        <v>424</v>
      </c>
      <c r="B26" s="536"/>
      <c r="E26" s="537">
        <f>IF(Etatsfin!E5=0,F26-365,Etatsfin!E5)</f>
        <v>39783</v>
      </c>
      <c r="F26" s="537">
        <f>IF(Etatsfin!F5=0,G26-365,Etatsfin!F5)</f>
        <v>40178</v>
      </c>
      <c r="G26" s="538">
        <f>IF(Etatsfin!G5=0,0,Etatsfin!G5)</f>
        <v>40543</v>
      </c>
      <c r="H26" s="321">
        <f>G26+366</f>
        <v>40909</v>
      </c>
      <c r="I26" s="321">
        <f t="shared" ref="I26:N26" si="10">H26+366</f>
        <v>41275</v>
      </c>
      <c r="J26" s="321">
        <f t="shared" si="10"/>
        <v>41641</v>
      </c>
      <c r="K26" s="321">
        <f t="shared" si="10"/>
        <v>42007</v>
      </c>
      <c r="L26" s="321">
        <f t="shared" si="10"/>
        <v>42373</v>
      </c>
      <c r="M26" s="321">
        <f t="shared" si="10"/>
        <v>42739</v>
      </c>
      <c r="N26" s="321">
        <f t="shared" si="10"/>
        <v>43105</v>
      </c>
      <c r="O26" s="510" t="s">
        <v>595</v>
      </c>
      <c r="P26" s="539"/>
      <c r="R26" s="540" t="s">
        <v>425</v>
      </c>
      <c r="S26" s="541"/>
      <c r="T26" s="542"/>
    </row>
    <row r="27" spans="1:20" s="510" customFormat="1" ht="14" customHeight="1" x14ac:dyDescent="0.15">
      <c r="A27" s="543" t="s">
        <v>426</v>
      </c>
      <c r="B27" s="544"/>
      <c r="E27" s="545">
        <f t="shared" ref="E27:N27" si="11">E26</f>
        <v>39783</v>
      </c>
      <c r="F27" s="545">
        <f t="shared" si="11"/>
        <v>40178</v>
      </c>
      <c r="G27" s="545">
        <f t="shared" si="11"/>
        <v>40543</v>
      </c>
      <c r="H27" s="545">
        <f t="shared" si="11"/>
        <v>40909</v>
      </c>
      <c r="I27" s="545">
        <f t="shared" si="11"/>
        <v>41275</v>
      </c>
      <c r="J27" s="545">
        <f t="shared" si="11"/>
        <v>41641</v>
      </c>
      <c r="K27" s="545">
        <f t="shared" si="11"/>
        <v>42007</v>
      </c>
      <c r="L27" s="545">
        <f t="shared" si="11"/>
        <v>42373</v>
      </c>
      <c r="M27" s="545">
        <f t="shared" si="11"/>
        <v>42739</v>
      </c>
      <c r="N27" s="545">
        <f t="shared" si="11"/>
        <v>43105</v>
      </c>
      <c r="O27" s="527"/>
      <c r="R27" s="546">
        <f>O24/365</f>
        <v>1.0027397260273974</v>
      </c>
      <c r="S27" s="547">
        <f>(F26-E26)/365</f>
        <v>1.0821917808219179</v>
      </c>
      <c r="T27" s="548">
        <f>(G26-F26)/365</f>
        <v>1</v>
      </c>
    </row>
    <row r="28" spans="1:20" ht="14" customHeight="1" x14ac:dyDescent="0.15">
      <c r="A28" s="510" t="s">
        <v>427</v>
      </c>
      <c r="B28" s="495"/>
      <c r="E28" s="549">
        <f>E32+E35</f>
        <v>157693.05366999999</v>
      </c>
      <c r="F28" s="550">
        <f t="shared" ref="F28:N28" si="12">F32+F35</f>
        <v>101683.47899999998</v>
      </c>
      <c r="G28" s="551">
        <f t="shared" si="12"/>
        <v>97497.075000000041</v>
      </c>
      <c r="H28" s="552">
        <f t="shared" si="12"/>
        <v>97497.075000000041</v>
      </c>
      <c r="I28" s="553">
        <f t="shared" si="12"/>
        <v>97497.075000000041</v>
      </c>
      <c r="J28" s="553">
        <f t="shared" si="12"/>
        <v>97497.075000000041</v>
      </c>
      <c r="K28" s="553">
        <f t="shared" si="12"/>
        <v>97497.075000000041</v>
      </c>
      <c r="L28" s="553">
        <f t="shared" si="12"/>
        <v>97497.075000000041</v>
      </c>
      <c r="M28" s="553">
        <f t="shared" si="12"/>
        <v>97497.075000000041</v>
      </c>
      <c r="N28" s="553">
        <f t="shared" si="12"/>
        <v>97497.075000000041</v>
      </c>
      <c r="O28" s="510" t="s">
        <v>427</v>
      </c>
      <c r="R28" s="515"/>
      <c r="S28" s="515"/>
      <c r="T28" s="515"/>
    </row>
    <row r="29" spans="1:20" ht="14" customHeight="1" x14ac:dyDescent="0.15">
      <c r="A29" s="255" t="s">
        <v>124</v>
      </c>
      <c r="B29" s="554"/>
      <c r="C29" s="555"/>
      <c r="D29" s="555"/>
      <c r="E29" s="556">
        <f>Etatsfin!E10</f>
        <v>149520.26798</v>
      </c>
      <c r="F29" s="557">
        <f>Etatsfin!F10</f>
        <v>161675.93</v>
      </c>
      <c r="G29" s="558">
        <f>Etatsfin!G10</f>
        <v>187435.79900000003</v>
      </c>
      <c r="H29" s="559">
        <f>G29+Hypo!H44-Hypo!H60+H113</f>
        <v>187435.79900000003</v>
      </c>
      <c r="I29" s="559">
        <f>H29+Hypo!I44-Hypo!I60+I113</f>
        <v>187435.79900000003</v>
      </c>
      <c r="J29" s="559">
        <f>I29+Hypo!J44-Hypo!J60+J113</f>
        <v>187435.79900000003</v>
      </c>
      <c r="K29" s="559">
        <f>J29+Hypo!K44-Hypo!K60+K113</f>
        <v>187435.79900000003</v>
      </c>
      <c r="L29" s="559">
        <f>K29+Hypo!L44-Hypo!L60+L113</f>
        <v>187435.79900000003</v>
      </c>
      <c r="M29" s="559">
        <f>L29+Hypo!M44-Hypo!M60+M113</f>
        <v>187435.79900000003</v>
      </c>
      <c r="N29" s="559">
        <f>M29+Hypo!N44-Hypo!N60+N113</f>
        <v>187435.79900000003</v>
      </c>
      <c r="O29" s="560" t="s">
        <v>124</v>
      </c>
      <c r="R29" s="515"/>
      <c r="S29" s="515"/>
      <c r="T29" s="515"/>
    </row>
    <row r="30" spans="1:20" ht="14" customHeight="1" x14ac:dyDescent="0.15">
      <c r="A30" s="255" t="s">
        <v>126</v>
      </c>
      <c r="B30" s="554"/>
      <c r="C30" s="555"/>
      <c r="D30" s="555"/>
      <c r="E30" s="556">
        <f>Etatsfin!E11</f>
        <v>43340.141960000001</v>
      </c>
      <c r="F30" s="557">
        <f>Etatsfin!F11</f>
        <v>64227.836000000003</v>
      </c>
      <c r="G30" s="558">
        <f>Etatsfin!G11</f>
        <v>91785.723999999987</v>
      </c>
      <c r="H30" s="559">
        <f>G30+H143-(Hypo!H60-Hypo!H61)</f>
        <v>91785.723999999987</v>
      </c>
      <c r="I30" s="559">
        <f>H30+I143-(Hypo!I60-Hypo!I61)</f>
        <v>91785.723999999987</v>
      </c>
      <c r="J30" s="559">
        <f>I30+J143-(Hypo!J60-Hypo!J61)</f>
        <v>91785.723999999987</v>
      </c>
      <c r="K30" s="559">
        <f>J30+K143-(Hypo!K60-Hypo!K61)</f>
        <v>91785.723999999987</v>
      </c>
      <c r="L30" s="559">
        <f>K30+L143-(Hypo!L60-Hypo!L61)</f>
        <v>91785.723999999987</v>
      </c>
      <c r="M30" s="559">
        <f>L30+M143-(Hypo!M60-Hypo!M61)</f>
        <v>91785.723999999987</v>
      </c>
      <c r="N30" s="559">
        <f>M30+N143-(Hypo!N60-Hypo!N61)</f>
        <v>91785.723999999987</v>
      </c>
      <c r="O30" s="560" t="s">
        <v>126</v>
      </c>
    </row>
    <row r="31" spans="1:20" ht="7" customHeight="1" x14ac:dyDescent="0.15">
      <c r="B31" s="554"/>
      <c r="C31" s="555"/>
      <c r="D31" s="555"/>
      <c r="E31" s="556"/>
      <c r="F31" s="557"/>
      <c r="G31" s="558"/>
      <c r="H31" s="559"/>
      <c r="I31" s="559"/>
      <c r="J31" s="559"/>
      <c r="K31" s="559"/>
      <c r="L31" s="559"/>
      <c r="M31" s="559"/>
      <c r="N31" s="559"/>
      <c r="O31" s="560"/>
    </row>
    <row r="32" spans="1:20" ht="14" customHeight="1" x14ac:dyDescent="0.15">
      <c r="A32" s="255" t="s">
        <v>428</v>
      </c>
      <c r="C32" s="560"/>
      <c r="D32" s="560"/>
      <c r="E32" s="561">
        <f>E29-E30</f>
        <v>106180.12602</v>
      </c>
      <c r="F32" s="562">
        <f>F29-F30</f>
        <v>97448.093999999983</v>
      </c>
      <c r="G32" s="563">
        <f>G29-G30</f>
        <v>95650.075000000041</v>
      </c>
      <c r="H32" s="564">
        <f t="shared" ref="H32:N32" si="13">H29-H30</f>
        <v>95650.075000000041</v>
      </c>
      <c r="I32" s="564">
        <f t="shared" si="13"/>
        <v>95650.075000000041</v>
      </c>
      <c r="J32" s="564">
        <f t="shared" si="13"/>
        <v>95650.075000000041</v>
      </c>
      <c r="K32" s="564">
        <f t="shared" si="13"/>
        <v>95650.075000000041</v>
      </c>
      <c r="L32" s="564">
        <f t="shared" si="13"/>
        <v>95650.075000000041</v>
      </c>
      <c r="M32" s="564">
        <f t="shared" si="13"/>
        <v>95650.075000000041</v>
      </c>
      <c r="N32" s="564">
        <f t="shared" si="13"/>
        <v>95650.075000000041</v>
      </c>
      <c r="O32" s="560" t="s">
        <v>428</v>
      </c>
    </row>
    <row r="33" spans="1:15" s="565" customFormat="1" ht="14" customHeight="1" outlineLevel="1" x14ac:dyDescent="0.15">
      <c r="A33" s="565" t="s">
        <v>429</v>
      </c>
      <c r="C33" s="566"/>
      <c r="D33" s="566"/>
      <c r="E33" s="567">
        <f>Etatsfin!E15</f>
        <v>41.25</v>
      </c>
      <c r="F33" s="568">
        <f>Etatsfin!F15</f>
        <v>14.534000000000001</v>
      </c>
      <c r="G33" s="569">
        <f>Etatsfin!G15</f>
        <v>419.16699999999997</v>
      </c>
      <c r="H33" s="570"/>
      <c r="I33" s="571"/>
      <c r="J33" s="572"/>
      <c r="K33" s="572"/>
      <c r="L33" s="570"/>
      <c r="M33" s="572"/>
      <c r="N33" s="570"/>
      <c r="O33" s="566" t="s">
        <v>429</v>
      </c>
    </row>
    <row r="34" spans="1:15" ht="14" customHeight="1" x14ac:dyDescent="0.15">
      <c r="E34" s="573"/>
      <c r="F34" s="574"/>
      <c r="G34" s="575"/>
      <c r="H34" s="576"/>
      <c r="I34" s="577"/>
      <c r="J34" s="578"/>
      <c r="K34" s="578"/>
      <c r="L34" s="576"/>
      <c r="M34" s="578"/>
      <c r="N34" s="576"/>
    </row>
    <row r="35" spans="1:15" ht="14" customHeight="1" x14ac:dyDescent="0.15">
      <c r="A35" s="255" t="s">
        <v>596</v>
      </c>
      <c r="C35" s="560"/>
      <c r="D35" s="560"/>
      <c r="E35" s="579">
        <f>SUM(Etatsfin!E17:E19)</f>
        <v>51512.927649999998</v>
      </c>
      <c r="F35" s="580">
        <f>SUM(Etatsfin!F17:F19)</f>
        <v>4235.3850000000002</v>
      </c>
      <c r="G35" s="581">
        <f>SUM(Etatsfin!G17:G19)</f>
        <v>1847</v>
      </c>
      <c r="H35" s="559">
        <f>G35+H224-Hypo!H65-Hypo!H62</f>
        <v>1847</v>
      </c>
      <c r="I35" s="559">
        <f>H35+I224-Hypo!I65-Hypo!I62</f>
        <v>1847</v>
      </c>
      <c r="J35" s="559">
        <f>I35+J224-Hypo!J65-Hypo!J62</f>
        <v>1847</v>
      </c>
      <c r="K35" s="559">
        <f>J35+K224-Hypo!K65-Hypo!K62</f>
        <v>1847</v>
      </c>
      <c r="L35" s="559">
        <f>K35+L224-Hypo!L65-Hypo!L62</f>
        <v>1847</v>
      </c>
      <c r="M35" s="559">
        <f>L35+M224-Hypo!M65-Hypo!M62</f>
        <v>1847</v>
      </c>
      <c r="N35" s="559">
        <f>M35+N224-Hypo!N65-Hypo!N62</f>
        <v>1847</v>
      </c>
      <c r="O35" s="560" t="s">
        <v>430</v>
      </c>
    </row>
    <row r="36" spans="1:15" s="583" customFormat="1" ht="14" customHeight="1" outlineLevel="1" x14ac:dyDescent="0.15">
      <c r="A36" s="323" t="e">
        <f>IF(AND(P22=1,Saisie!F120=0,Saisie!G120=0,Saisie!H120=0,Etatsfin!G19=0,E40=0,E41=0,F40=0,F41=0,G40=0,G41=0),"Décomposition historique des ''Titres'' et ''Autres immo. financières'' à saisir car ''Saisie'' semble incomplète...  ","")</f>
        <v>#REF!</v>
      </c>
      <c r="B36" s="582"/>
      <c r="E36" s="579"/>
      <c r="F36" s="580"/>
      <c r="G36" s="584"/>
      <c r="H36" s="559"/>
      <c r="I36" s="559"/>
      <c r="J36" s="559"/>
      <c r="K36" s="559"/>
      <c r="L36" s="559"/>
      <c r="M36" s="559"/>
      <c r="N36" s="559"/>
    </row>
    <row r="37" spans="1:15" s="592" customFormat="1" ht="14" customHeight="1" outlineLevel="1" x14ac:dyDescent="0.15">
      <c r="A37" s="585" t="s">
        <v>431</v>
      </c>
      <c r="B37" s="586"/>
      <c r="C37" s="587"/>
      <c r="D37" s="587"/>
      <c r="E37" s="588" t="str">
        <f>IF(O22=1,"",IF(AND((E35-SUM(E38:E41))&gt;=-0.1,(E35-SUM(E38:E41)&lt;=0.1)),"","Erreur !"))</f>
        <v/>
      </c>
      <c r="F37" s="589" t="str">
        <f>IF(O22=1,"",IF(AND((F35-SUM(F38:F41))&gt;=-0.1,(F35-SUM(F38:F41)&lt;=0.1)),"","Erreur !"))</f>
        <v/>
      </c>
      <c r="G37" s="590" t="str">
        <f>IF(O22=1,"",IF(AND((G35-SUM(G38:G41))&gt;=-0.1,(G35-SUM(G38:G41)&lt;=0.1)),"","Erreur !"))</f>
        <v/>
      </c>
      <c r="H37" s="591"/>
      <c r="I37" s="591"/>
      <c r="J37" s="591"/>
      <c r="K37" s="591"/>
      <c r="L37" s="591"/>
      <c r="M37" s="591"/>
      <c r="N37" s="591"/>
      <c r="O37" s="585" t="s">
        <v>431</v>
      </c>
    </row>
    <row r="38" spans="1:15" s="592" customFormat="1" ht="14" customHeight="1" outlineLevel="1" x14ac:dyDescent="0.15">
      <c r="A38" s="593" t="s">
        <v>432</v>
      </c>
      <c r="B38" s="586"/>
      <c r="C38" s="587"/>
      <c r="D38" s="587"/>
      <c r="E38" s="594">
        <f>Etatsfin!E17</f>
        <v>0</v>
      </c>
      <c r="F38" s="595">
        <f>Etatsfin!F17</f>
        <v>0</v>
      </c>
      <c r="G38" s="596">
        <f>Etatsfin!G17</f>
        <v>0</v>
      </c>
      <c r="H38" s="597">
        <f>G38+H227-Hypo!H65</f>
        <v>0</v>
      </c>
      <c r="I38" s="597">
        <f>H38+I227-Hypo!I65</f>
        <v>0</v>
      </c>
      <c r="J38" s="597">
        <f>I38+J227-Hypo!J65</f>
        <v>0</v>
      </c>
      <c r="K38" s="597">
        <f>J38+K227-Hypo!K65</f>
        <v>0</v>
      </c>
      <c r="L38" s="597">
        <f>K38+L227-Hypo!L65</f>
        <v>0</v>
      </c>
      <c r="M38" s="597">
        <f>L38+M227-Hypo!M65</f>
        <v>0</v>
      </c>
      <c r="N38" s="597">
        <f>M38+N227-Hypo!N65</f>
        <v>0</v>
      </c>
      <c r="O38" s="593" t="s">
        <v>432</v>
      </c>
    </row>
    <row r="39" spans="1:15" s="592" customFormat="1" ht="14" customHeight="1" outlineLevel="1" x14ac:dyDescent="0.15">
      <c r="A39" s="593" t="s">
        <v>433</v>
      </c>
      <c r="B39" s="586"/>
      <c r="C39" s="587"/>
      <c r="D39" s="587"/>
      <c r="E39" s="594">
        <f>Etatsfin!E19</f>
        <v>0</v>
      </c>
      <c r="F39" s="595">
        <f>Etatsfin!F19</f>
        <v>421.39299999999997</v>
      </c>
      <c r="G39" s="596">
        <f>Etatsfin!G19</f>
        <v>0</v>
      </c>
      <c r="H39" s="597">
        <f t="shared" ref="H39:N39" si="14">G39+H228</f>
        <v>0</v>
      </c>
      <c r="I39" s="597">
        <f t="shared" si="14"/>
        <v>0</v>
      </c>
      <c r="J39" s="597">
        <f t="shared" si="14"/>
        <v>0</v>
      </c>
      <c r="K39" s="597">
        <f t="shared" si="14"/>
        <v>0</v>
      </c>
      <c r="L39" s="597">
        <f t="shared" si="14"/>
        <v>0</v>
      </c>
      <c r="M39" s="597">
        <f t="shared" si="14"/>
        <v>0</v>
      </c>
      <c r="N39" s="597">
        <f t="shared" si="14"/>
        <v>0</v>
      </c>
      <c r="O39" s="593" t="s">
        <v>433</v>
      </c>
    </row>
    <row r="40" spans="1:15" s="592" customFormat="1" ht="14" customHeight="1" outlineLevel="1" x14ac:dyDescent="0.15">
      <c r="A40" s="593" t="s">
        <v>434</v>
      </c>
      <c r="B40" s="586"/>
      <c r="C40" s="587"/>
      <c r="D40" s="587"/>
      <c r="E40" s="598">
        <f>SUM(Saisie!F21:'Saisie'!F24)-SUM(Saisie!F27:'Saisie'!F30)</f>
        <v>0</v>
      </c>
      <c r="F40" s="599">
        <f>SUM(Saisie!G21:'Saisie'!G24)-SUM(Saisie!G27:'Saisie'!G30)</f>
        <v>0</v>
      </c>
      <c r="G40" s="600">
        <f>SUM(Saisie!H21:'Saisie'!H25)-SUM(Saisie!H27:'Saisie'!H30)</f>
        <v>1847</v>
      </c>
      <c r="H40" s="597">
        <f>G40+H229-Hypo!H62</f>
        <v>1847</v>
      </c>
      <c r="I40" s="597">
        <f>H40+I229-Hypo!I62</f>
        <v>1847</v>
      </c>
      <c r="J40" s="597">
        <f>I40+J229-Hypo!J62</f>
        <v>1847</v>
      </c>
      <c r="K40" s="597">
        <f>J40+K229-Hypo!K62</f>
        <v>1847</v>
      </c>
      <c r="L40" s="597">
        <f>K40+L229-Hypo!L62</f>
        <v>1847</v>
      </c>
      <c r="M40" s="597">
        <f>L40+M229-Hypo!M62</f>
        <v>1847</v>
      </c>
      <c r="N40" s="597">
        <f>M40+N229-Hypo!N62</f>
        <v>1847</v>
      </c>
      <c r="O40" s="593" t="s">
        <v>434</v>
      </c>
    </row>
    <row r="41" spans="1:15" s="592" customFormat="1" ht="14" customHeight="1" outlineLevel="1" x14ac:dyDescent="0.15">
      <c r="A41" s="601" t="s">
        <v>435</v>
      </c>
      <c r="B41" s="586"/>
      <c r="C41" s="587"/>
      <c r="D41" s="587"/>
      <c r="E41" s="598">
        <f>(Saisie!F25+Saisie!F26)-(Saisie!F31+Saisie!F32)</f>
        <v>51512.927649999998</v>
      </c>
      <c r="F41" s="599">
        <f>(Saisie!G25+Saisie!G26)-(Saisie!G31+Saisie!G32)</f>
        <v>3813.9920000000002</v>
      </c>
      <c r="G41" s="600" t="e">
        <f>(Saisie!#REF!+Saisie!H26)-(Saisie!H31+Saisie!H32)</f>
        <v>#REF!</v>
      </c>
      <c r="H41" s="597" t="e">
        <f t="shared" ref="H41:N41" si="15">G41+H230</f>
        <v>#REF!</v>
      </c>
      <c r="I41" s="597" t="e">
        <f t="shared" si="15"/>
        <v>#REF!</v>
      </c>
      <c r="J41" s="597" t="e">
        <f t="shared" si="15"/>
        <v>#REF!</v>
      </c>
      <c r="K41" s="597" t="e">
        <f t="shared" si="15"/>
        <v>#REF!</v>
      </c>
      <c r="L41" s="597" t="e">
        <f t="shared" si="15"/>
        <v>#REF!</v>
      </c>
      <c r="M41" s="597" t="e">
        <f t="shared" si="15"/>
        <v>#REF!</v>
      </c>
      <c r="N41" s="597" t="e">
        <f t="shared" si="15"/>
        <v>#REF!</v>
      </c>
      <c r="O41" s="601" t="s">
        <v>435</v>
      </c>
    </row>
    <row r="42" spans="1:15" ht="14" customHeight="1" x14ac:dyDescent="0.15">
      <c r="A42" s="602" t="str">
        <f ca="1">IF(AND(P22=1,T226&gt;4),"Vous avez décidé d'ajouter une(des) ligne(s) au bloc ci-dessus : il faut donc en outre, pour cette(ces) nouvelle(s) ligne(s), ''copier &amp; coller'' les formules ad hoc à partir d'une ligne similaire de ce bloc.","")</f>
        <v/>
      </c>
      <c r="C42" s="560"/>
      <c r="D42" s="560"/>
      <c r="E42" s="603"/>
      <c r="F42" s="604"/>
      <c r="G42" s="605"/>
      <c r="H42" s="606"/>
      <c r="I42" s="606"/>
      <c r="J42" s="606"/>
      <c r="K42" s="606"/>
      <c r="L42" s="606"/>
      <c r="M42" s="606"/>
      <c r="N42" s="606"/>
      <c r="O42" s="560"/>
    </row>
    <row r="43" spans="1:15" s="510" customFormat="1" ht="15.75" customHeight="1" x14ac:dyDescent="0.15">
      <c r="A43" s="510" t="s">
        <v>436</v>
      </c>
      <c r="E43" s="380">
        <f t="shared" ref="E43:N43" si="16">SUM(E44:E47)</f>
        <v>488397.21701000002</v>
      </c>
      <c r="F43" s="381">
        <f t="shared" si="16"/>
        <v>676088.32299999997</v>
      </c>
      <c r="G43" s="428">
        <f t="shared" si="16"/>
        <v>1011090.268</v>
      </c>
      <c r="H43" s="607">
        <f t="shared" si="16"/>
        <v>184164.62199999997</v>
      </c>
      <c r="I43" s="607">
        <f t="shared" si="16"/>
        <v>184164.62199999997</v>
      </c>
      <c r="J43" s="607">
        <f t="shared" si="16"/>
        <v>184164.62199999997</v>
      </c>
      <c r="K43" s="607">
        <f t="shared" si="16"/>
        <v>184164.62199999997</v>
      </c>
      <c r="L43" s="607">
        <f t="shared" si="16"/>
        <v>184164.62199999997</v>
      </c>
      <c r="M43" s="607">
        <f t="shared" si="16"/>
        <v>184164.62199999997</v>
      </c>
      <c r="N43" s="607">
        <f t="shared" si="16"/>
        <v>184164.62199999997</v>
      </c>
      <c r="O43" s="510" t="s">
        <v>436</v>
      </c>
    </row>
    <row r="44" spans="1:15" ht="14" customHeight="1" x14ac:dyDescent="0.15">
      <c r="A44" s="255" t="s">
        <v>141</v>
      </c>
      <c r="E44" s="608">
        <f>Etatsfin!E23</f>
        <v>262709.32185999997</v>
      </c>
      <c r="F44" s="609">
        <f>Etatsfin!F23</f>
        <v>475743.80599999998</v>
      </c>
      <c r="G44" s="610">
        <f>Etatsfin!G23</f>
        <v>444621.93699999998</v>
      </c>
      <c r="H44" s="606">
        <f>Hypo!H50*H104/360</f>
        <v>0</v>
      </c>
      <c r="I44" s="606">
        <f>Hypo!I50*I104/360</f>
        <v>0</v>
      </c>
      <c r="J44" s="606">
        <f>Hypo!J50*J104/360</f>
        <v>0</v>
      </c>
      <c r="K44" s="606">
        <f>Hypo!K50*K104/360</f>
        <v>0</v>
      </c>
      <c r="L44" s="606">
        <f>Hypo!L50*L104/360</f>
        <v>0</v>
      </c>
      <c r="M44" s="606">
        <f>Hypo!M50*M104/360</f>
        <v>0</v>
      </c>
      <c r="N44" s="606">
        <f>Hypo!N50*N104/360</f>
        <v>0</v>
      </c>
      <c r="O44" s="255" t="s">
        <v>141</v>
      </c>
    </row>
    <row r="45" spans="1:15" ht="14" customHeight="1" x14ac:dyDescent="0.15">
      <c r="A45" s="255" t="s">
        <v>144</v>
      </c>
      <c r="E45" s="608">
        <f>Etatsfin!E25</f>
        <v>57395.549730000006</v>
      </c>
      <c r="F45" s="609">
        <f>Etatsfin!F25</f>
        <v>117587.53600000001</v>
      </c>
      <c r="G45" s="610">
        <f>Etatsfin!G25</f>
        <v>383709.15600000002</v>
      </c>
      <c r="H45" s="606">
        <f>Hypo!H51*H104/360</f>
        <v>0</v>
      </c>
      <c r="I45" s="606">
        <f>Hypo!I51*I104/360</f>
        <v>0</v>
      </c>
      <c r="J45" s="606">
        <f>Hypo!J51*J104/360</f>
        <v>0</v>
      </c>
      <c r="K45" s="606">
        <f>Hypo!K51*K104/360</f>
        <v>0</v>
      </c>
      <c r="L45" s="606">
        <f>Hypo!L51*L104/360</f>
        <v>0</v>
      </c>
      <c r="M45" s="606">
        <f>Hypo!M51*M104/360</f>
        <v>0</v>
      </c>
      <c r="N45" s="606">
        <f>Hypo!N51*N104/360</f>
        <v>0</v>
      </c>
      <c r="O45" s="255" t="s">
        <v>144</v>
      </c>
    </row>
    <row r="46" spans="1:15" ht="14" customHeight="1" x14ac:dyDescent="0.15">
      <c r="A46" s="255" t="s">
        <v>146</v>
      </c>
      <c r="E46" s="608">
        <f>Etatsfin!E26</f>
        <v>41872.384389999999</v>
      </c>
      <c r="F46" s="609">
        <f>Etatsfin!F26</f>
        <v>60028.927000000003</v>
      </c>
      <c r="G46" s="610">
        <f>Etatsfin!G26</f>
        <v>78139.475999999995</v>
      </c>
      <c r="H46" s="606">
        <f>Hypo!H52*H104/360</f>
        <v>0</v>
      </c>
      <c r="I46" s="606">
        <f>Hypo!I52*I104/360</f>
        <v>0</v>
      </c>
      <c r="J46" s="606">
        <f>Hypo!J52*J104/360</f>
        <v>0</v>
      </c>
      <c r="K46" s="606">
        <f>Hypo!K52*K104/360</f>
        <v>0</v>
      </c>
      <c r="L46" s="606">
        <f>Hypo!L52*L104/360</f>
        <v>0</v>
      </c>
      <c r="M46" s="606">
        <f>Hypo!M52*M104/360</f>
        <v>0</v>
      </c>
      <c r="N46" s="606">
        <f>Hypo!N52*N104/360</f>
        <v>0</v>
      </c>
      <c r="O46" s="255" t="s">
        <v>146</v>
      </c>
    </row>
    <row r="47" spans="1:15" ht="14" customHeight="1" x14ac:dyDescent="0.15">
      <c r="A47" s="255" t="s">
        <v>437</v>
      </c>
      <c r="E47" s="608">
        <f>Etatsfin!E27+Etatsfin!E28</f>
        <v>126419.96103000001</v>
      </c>
      <c r="F47" s="609">
        <f>Etatsfin!F27+Etatsfin!F28</f>
        <v>22728.054</v>
      </c>
      <c r="G47" s="610">
        <f>Etatsfin!G27+Etatsfin!G28</f>
        <v>104619.69899999999</v>
      </c>
      <c r="H47" s="606">
        <f>IF(H97&gt;=Hypo!H70,H97,Hypo!H70)</f>
        <v>184164.62199999997</v>
      </c>
      <c r="I47" s="606">
        <f>IF(I97&gt;=Hypo!I70,I97,Hypo!I70)</f>
        <v>184164.62199999997</v>
      </c>
      <c r="J47" s="606">
        <f>IF(J97&gt;=Hypo!J70,J97,Hypo!J70)</f>
        <v>184164.62199999997</v>
      </c>
      <c r="K47" s="606">
        <f>IF(K97&gt;=Hypo!K70,K97,Hypo!K70)</f>
        <v>184164.62199999997</v>
      </c>
      <c r="L47" s="606">
        <f>IF(L97&gt;=Hypo!L70,L97,Hypo!L70)</f>
        <v>184164.62199999997</v>
      </c>
      <c r="M47" s="606">
        <f>IF(M97&gt;=Hypo!M70,M97,Hypo!M70)</f>
        <v>184164.62199999997</v>
      </c>
      <c r="N47" s="606">
        <f>IF(N97&gt;=Hypo!N70,N97,Hypo!N70)</f>
        <v>184164.62199999997</v>
      </c>
      <c r="O47" s="255" t="s">
        <v>437</v>
      </c>
    </row>
    <row r="48" spans="1:15" ht="14" customHeight="1" x14ac:dyDescent="0.15">
      <c r="C48" s="560"/>
      <c r="D48" s="560"/>
      <c r="E48" s="611"/>
      <c r="F48" s="612"/>
      <c r="G48" s="613"/>
      <c r="H48" s="614"/>
      <c r="I48" s="614"/>
      <c r="J48" s="614"/>
      <c r="K48" s="614"/>
      <c r="L48" s="614"/>
      <c r="M48" s="614"/>
      <c r="N48" s="614"/>
    </row>
    <row r="49" spans="1:17" s="510" customFormat="1" ht="14" customHeight="1" x14ac:dyDescent="0.2">
      <c r="A49" s="615" t="s">
        <v>438</v>
      </c>
      <c r="E49" s="385">
        <f t="shared" ref="E49:N49" si="17">E28+E43</f>
        <v>646090.27068000007</v>
      </c>
      <c r="F49" s="386">
        <f t="shared" si="17"/>
        <v>777771.80199999991</v>
      </c>
      <c r="G49" s="616">
        <f t="shared" si="17"/>
        <v>1108587.3430000001</v>
      </c>
      <c r="H49" s="552">
        <f t="shared" si="17"/>
        <v>281661.69700000004</v>
      </c>
      <c r="I49" s="552">
        <f t="shared" si="17"/>
        <v>281661.69700000004</v>
      </c>
      <c r="J49" s="552">
        <f t="shared" si="17"/>
        <v>281661.69700000004</v>
      </c>
      <c r="K49" s="552">
        <f t="shared" si="17"/>
        <v>281661.69700000004</v>
      </c>
      <c r="L49" s="552">
        <f t="shared" si="17"/>
        <v>281661.69700000004</v>
      </c>
      <c r="M49" s="552">
        <f t="shared" si="17"/>
        <v>281661.69700000004</v>
      </c>
      <c r="N49" s="552">
        <f t="shared" si="17"/>
        <v>281661.69700000004</v>
      </c>
      <c r="O49" s="615" t="s">
        <v>438</v>
      </c>
    </row>
    <row r="50" spans="1:17" ht="14" customHeight="1" x14ac:dyDescent="0.15">
      <c r="C50" s="617"/>
      <c r="D50" s="617"/>
      <c r="E50" s="617"/>
      <c r="F50" s="617"/>
      <c r="G50" s="617"/>
      <c r="H50" s="617"/>
      <c r="I50" s="617"/>
      <c r="O50" s="617"/>
    </row>
    <row r="51" spans="1:17" ht="14" customHeight="1" x14ac:dyDescent="0.15">
      <c r="C51" s="617"/>
      <c r="D51" s="617"/>
      <c r="E51" s="617"/>
      <c r="F51" s="617"/>
      <c r="G51" s="617"/>
      <c r="H51" s="617"/>
      <c r="I51" s="617"/>
      <c r="O51" s="617"/>
    </row>
    <row r="52" spans="1:17" s="510" customFormat="1" ht="14" customHeight="1" x14ac:dyDescent="0.2">
      <c r="E52" s="618" t="str">
        <f>E25</f>
        <v>Historique</v>
      </c>
      <c r="F52" s="618"/>
      <c r="G52" s="618"/>
      <c r="H52" s="618" t="str">
        <f>H25</f>
        <v>Prévisions</v>
      </c>
      <c r="I52" s="618"/>
      <c r="J52" s="619"/>
      <c r="K52" s="619"/>
      <c r="L52" s="619"/>
      <c r="M52" s="619"/>
      <c r="N52" s="619"/>
    </row>
    <row r="53" spans="1:17" s="510" customFormat="1" ht="14" customHeight="1" x14ac:dyDescent="0.15">
      <c r="A53" s="527"/>
      <c r="E53" s="321">
        <f>E26</f>
        <v>39783</v>
      </c>
      <c r="F53" s="321">
        <f>F26</f>
        <v>40178</v>
      </c>
      <c r="G53" s="321">
        <f>G26</f>
        <v>40543</v>
      </c>
      <c r="H53" s="321">
        <f>H26</f>
        <v>40909</v>
      </c>
      <c r="I53" s="321">
        <f t="shared" ref="I53:N53" si="18">I26</f>
        <v>41275</v>
      </c>
      <c r="J53" s="321">
        <f t="shared" si="18"/>
        <v>41641</v>
      </c>
      <c r="K53" s="321">
        <f t="shared" si="18"/>
        <v>42007</v>
      </c>
      <c r="L53" s="321">
        <f t="shared" si="18"/>
        <v>42373</v>
      </c>
      <c r="M53" s="321">
        <f t="shared" si="18"/>
        <v>42739</v>
      </c>
      <c r="N53" s="321">
        <f t="shared" si="18"/>
        <v>43105</v>
      </c>
      <c r="O53" s="527"/>
    </row>
    <row r="54" spans="1:17" s="510" customFormat="1" ht="14" customHeight="1" x14ac:dyDescent="0.15">
      <c r="A54" s="527"/>
      <c r="E54" s="620"/>
      <c r="F54" s="620"/>
      <c r="G54" s="620"/>
      <c r="H54" s="620"/>
      <c r="I54" s="620"/>
      <c r="J54" s="620"/>
      <c r="K54" s="620"/>
      <c r="L54" s="620"/>
      <c r="M54" s="620"/>
      <c r="N54" s="620"/>
      <c r="O54" s="527"/>
    </row>
    <row r="55" spans="1:17" ht="14" customHeight="1" x14ac:dyDescent="0.15">
      <c r="A55" s="510" t="s">
        <v>439</v>
      </c>
      <c r="E55" s="376">
        <f>SUM(E56:E58)</f>
        <v>105471.01571000001</v>
      </c>
      <c r="F55" s="377">
        <f>SUM(F56:F58)</f>
        <v>126814.251</v>
      </c>
      <c r="G55" s="621">
        <f>SUM(G56:G58)</f>
        <v>157044.05299999999</v>
      </c>
      <c r="H55" s="622">
        <f t="shared" ref="H55:N55" si="19">SUM(H56:H58)</f>
        <v>157044.05299999999</v>
      </c>
      <c r="I55" s="622">
        <f t="shared" si="19"/>
        <v>157044.05299999999</v>
      </c>
      <c r="J55" s="622">
        <f t="shared" si="19"/>
        <v>157044.05299999999</v>
      </c>
      <c r="K55" s="622">
        <f t="shared" si="19"/>
        <v>157044.05299999999</v>
      </c>
      <c r="L55" s="622">
        <f t="shared" si="19"/>
        <v>157044.05299999999</v>
      </c>
      <c r="M55" s="622">
        <f t="shared" si="19"/>
        <v>157044.05299999999</v>
      </c>
      <c r="N55" s="622">
        <f t="shared" si="19"/>
        <v>157044.05299999999</v>
      </c>
      <c r="O55" s="510" t="s">
        <v>439</v>
      </c>
    </row>
    <row r="56" spans="1:17" ht="14" customHeight="1" x14ac:dyDescent="0.15">
      <c r="A56" s="255" t="s">
        <v>440</v>
      </c>
      <c r="E56" s="623">
        <f>Etatsfin!K10+Etatsfin!K11</f>
        <v>87088.007060000004</v>
      </c>
      <c r="F56" s="624">
        <f>Etatsfin!L10+Etatsfin!L11</f>
        <v>105446.01300000001</v>
      </c>
      <c r="G56" s="625">
        <f>Etatsfin!M10+Etatsfin!M11</f>
        <v>129277.39199999999</v>
      </c>
      <c r="H56" s="626">
        <f>G56+G57+Hypo!H57</f>
        <v>157044.05299999999</v>
      </c>
      <c r="I56" s="626">
        <f>H56+H57+Hypo!I57</f>
        <v>157044.05299999999</v>
      </c>
      <c r="J56" s="626">
        <f>I56+I57+Hypo!J57</f>
        <v>157044.05299999999</v>
      </c>
      <c r="K56" s="626">
        <f>J56+J57+Hypo!K57</f>
        <v>157044.05299999999</v>
      </c>
      <c r="L56" s="626">
        <f>K56+K57+Hypo!L57</f>
        <v>157044.05299999999</v>
      </c>
      <c r="M56" s="626">
        <f>L56+L57+Hypo!M57</f>
        <v>157044.05299999999</v>
      </c>
      <c r="N56" s="626">
        <f>M56+M57+Hypo!N57</f>
        <v>157044.05299999999</v>
      </c>
      <c r="O56" s="255" t="s">
        <v>440</v>
      </c>
    </row>
    <row r="57" spans="1:17" ht="14" customHeight="1" x14ac:dyDescent="0.15">
      <c r="A57" s="255" t="s">
        <v>128</v>
      </c>
      <c r="E57" s="623">
        <f>Etatsfin!K12</f>
        <v>18383.00865</v>
      </c>
      <c r="F57" s="624">
        <f>Etatsfin!L12</f>
        <v>21368.238000000001</v>
      </c>
      <c r="G57" s="625">
        <f>Etatsfin!M12</f>
        <v>27766.661</v>
      </c>
      <c r="H57" s="626">
        <f t="shared" ref="H57:M57" si="20">H165-I256</f>
        <v>0</v>
      </c>
      <c r="I57" s="626">
        <f t="shared" si="20"/>
        <v>0</v>
      </c>
      <c r="J57" s="626">
        <f t="shared" si="20"/>
        <v>0</v>
      </c>
      <c r="K57" s="626">
        <f t="shared" si="20"/>
        <v>0</v>
      </c>
      <c r="L57" s="626">
        <f t="shared" si="20"/>
        <v>0</v>
      </c>
      <c r="M57" s="626">
        <f t="shared" si="20"/>
        <v>0</v>
      </c>
      <c r="N57" s="626">
        <f>N165-R256</f>
        <v>0</v>
      </c>
      <c r="O57" s="255" t="s">
        <v>128</v>
      </c>
    </row>
    <row r="58" spans="1:17" ht="14" customHeight="1" x14ac:dyDescent="0.15">
      <c r="A58" s="255" t="s">
        <v>129</v>
      </c>
      <c r="E58" s="623">
        <f>Etatsfin!K13</f>
        <v>0</v>
      </c>
      <c r="F58" s="624">
        <f>Etatsfin!L13</f>
        <v>0</v>
      </c>
      <c r="G58" s="625">
        <f>Etatsfin!M13</f>
        <v>0</v>
      </c>
      <c r="H58" s="626">
        <f t="shared" ref="H58:N58" si="21">G58</f>
        <v>0</v>
      </c>
      <c r="I58" s="626">
        <f t="shared" si="21"/>
        <v>0</v>
      </c>
      <c r="J58" s="626">
        <f t="shared" si="21"/>
        <v>0</v>
      </c>
      <c r="K58" s="626">
        <f t="shared" si="21"/>
        <v>0</v>
      </c>
      <c r="L58" s="626">
        <f t="shared" si="21"/>
        <v>0</v>
      </c>
      <c r="M58" s="626">
        <f t="shared" si="21"/>
        <v>0</v>
      </c>
      <c r="N58" s="626">
        <f t="shared" si="21"/>
        <v>0</v>
      </c>
      <c r="O58" s="255" t="s">
        <v>129</v>
      </c>
    </row>
    <row r="59" spans="1:17" ht="14" customHeight="1" x14ac:dyDescent="0.15">
      <c r="E59" s="627"/>
      <c r="F59" s="628"/>
      <c r="G59" s="629"/>
      <c r="H59" s="606"/>
      <c r="I59" s="606"/>
      <c r="J59" s="606"/>
      <c r="K59" s="606"/>
      <c r="L59" s="606"/>
      <c r="M59" s="606"/>
      <c r="N59" s="606"/>
      <c r="O59" s="560"/>
    </row>
    <row r="60" spans="1:17" ht="14" customHeight="1" x14ac:dyDescent="0.15">
      <c r="A60" s="510" t="s">
        <v>441</v>
      </c>
      <c r="C60" s="560"/>
      <c r="D60" s="560"/>
      <c r="E60" s="384">
        <f>Etatsfin!K15</f>
        <v>0</v>
      </c>
      <c r="F60" s="630">
        <f>Etatsfin!L15</f>
        <v>0</v>
      </c>
      <c r="G60" s="631">
        <f>Etatsfin!M15</f>
        <v>0</v>
      </c>
      <c r="H60" s="552">
        <f t="shared" ref="H60:N60" si="22">G60+H157</f>
        <v>0</v>
      </c>
      <c r="I60" s="552">
        <f t="shared" si="22"/>
        <v>0</v>
      </c>
      <c r="J60" s="552">
        <f t="shared" si="22"/>
        <v>0</v>
      </c>
      <c r="K60" s="552">
        <f t="shared" si="22"/>
        <v>0</v>
      </c>
      <c r="L60" s="552">
        <f t="shared" si="22"/>
        <v>0</v>
      </c>
      <c r="M60" s="552">
        <f t="shared" si="22"/>
        <v>0</v>
      </c>
      <c r="N60" s="552">
        <f t="shared" si="22"/>
        <v>0</v>
      </c>
      <c r="O60" s="632" t="s">
        <v>441</v>
      </c>
    </row>
    <row r="61" spans="1:17" ht="14" customHeight="1" x14ac:dyDescent="0.15">
      <c r="C61" s="560"/>
      <c r="D61" s="560"/>
      <c r="E61" s="633"/>
      <c r="F61" s="634"/>
      <c r="G61" s="635"/>
      <c r="H61" s="606"/>
      <c r="I61" s="606"/>
      <c r="J61" s="606"/>
      <c r="K61" s="606"/>
      <c r="L61" s="606"/>
      <c r="M61" s="606"/>
      <c r="N61" s="606"/>
      <c r="O61" s="560"/>
    </row>
    <row r="62" spans="1:17" s="510" customFormat="1" ht="14" customHeight="1" x14ac:dyDescent="0.15">
      <c r="A62" s="510" t="s">
        <v>135</v>
      </c>
      <c r="E62" s="384">
        <f>Etatsfin!K17</f>
        <v>129227.14337000001</v>
      </c>
      <c r="F62" s="630">
        <f>Etatsfin!L17</f>
        <v>122730.389</v>
      </c>
      <c r="G62" s="631">
        <f>Etatsfin!M17</f>
        <v>123773.39499999999</v>
      </c>
      <c r="H62" s="552">
        <f t="shared" ref="H62:N62" si="23">G62+H233</f>
        <v>123773.39499999999</v>
      </c>
      <c r="I62" s="552">
        <f t="shared" si="23"/>
        <v>123773.39499999999</v>
      </c>
      <c r="J62" s="552">
        <f t="shared" si="23"/>
        <v>123773.39499999999</v>
      </c>
      <c r="K62" s="552">
        <f t="shared" si="23"/>
        <v>123773.39499999999</v>
      </c>
      <c r="L62" s="552">
        <f t="shared" si="23"/>
        <v>123773.39499999999</v>
      </c>
      <c r="M62" s="552">
        <f t="shared" si="23"/>
        <v>123773.39499999999</v>
      </c>
      <c r="N62" s="552">
        <f t="shared" si="23"/>
        <v>123773.39499999999</v>
      </c>
      <c r="O62" s="510" t="s">
        <v>135</v>
      </c>
    </row>
    <row r="63" spans="1:17" s="510" customFormat="1" ht="14" hidden="1" customHeight="1" outlineLevel="1" x14ac:dyDescent="0.15">
      <c r="A63" s="544"/>
      <c r="B63" s="636" t="str">
        <f ca="1">IF(AND(T238=4,T244=4,T250=3),"","Vous avez ajouté (supprimé) une(des) ligne(s) de mouvements de DLMT dans le Tableau de Flux; donc il faut en ajouter (supprimer) autant ci-dessous, en respectant l'ordre.")</f>
        <v/>
      </c>
      <c r="C63" s="544"/>
      <c r="D63" s="544"/>
      <c r="E63" s="384"/>
      <c r="F63" s="630"/>
      <c r="G63" s="631"/>
      <c r="H63" s="552"/>
      <c r="I63" s="552"/>
      <c r="J63" s="552"/>
      <c r="K63" s="552"/>
      <c r="L63" s="552"/>
      <c r="M63" s="552"/>
      <c r="N63" s="552"/>
    </row>
    <row r="64" spans="1:17" s="510" customFormat="1" ht="14" hidden="1" customHeight="1" outlineLevel="1" x14ac:dyDescent="0.15">
      <c r="A64" s="585" t="s">
        <v>442</v>
      </c>
      <c r="B64" s="636" t="str">
        <f ca="1">IF(OR(T238&gt;4,T244&gt;4,T250&gt;3),"En fait, vous avez ajouté une(des) ligne(s) : il faut donc en outre ''copier &amp; coller'' les formules à partir de la ligne supérieure ou infér. déjà existante.","")</f>
        <v/>
      </c>
      <c r="C64" s="637"/>
      <c r="D64" s="637"/>
      <c r="E64" s="638"/>
      <c r="F64" s="639"/>
      <c r="G64" s="640"/>
      <c r="H64" s="641"/>
      <c r="I64" s="641"/>
      <c r="J64" s="641"/>
      <c r="K64" s="641"/>
      <c r="L64" s="641"/>
      <c r="M64" s="641"/>
      <c r="N64" s="642"/>
      <c r="O64" s="585" t="s">
        <v>442</v>
      </c>
      <c r="Q64" s="643"/>
    </row>
    <row r="65" spans="1:24" s="510" customFormat="1" ht="14" hidden="1" customHeight="1" outlineLevel="1" x14ac:dyDescent="0.15">
      <c r="A65" s="585" t="s">
        <v>443</v>
      </c>
      <c r="B65" s="323"/>
      <c r="E65" s="644"/>
      <c r="F65" s="645"/>
      <c r="G65" s="646"/>
      <c r="H65" s="559"/>
      <c r="I65" s="559"/>
      <c r="J65" s="559"/>
      <c r="K65" s="559"/>
      <c r="L65" s="559"/>
      <c r="M65" s="559"/>
      <c r="N65" s="559"/>
      <c r="O65" s="255"/>
      <c r="P65" s="255"/>
      <c r="Q65" s="255"/>
      <c r="R65" s="255"/>
      <c r="S65" s="255"/>
      <c r="T65" s="255"/>
      <c r="U65" s="255"/>
      <c r="V65" s="255"/>
      <c r="W65" s="255"/>
      <c r="X65" s="255"/>
    </row>
    <row r="66" spans="1:24" s="510" customFormat="1" ht="14" hidden="1" customHeight="1" outlineLevel="1" x14ac:dyDescent="0.15">
      <c r="A66" s="647" t="str">
        <f>IF(OR(A239="Saisir un nom",A239=""),"Nom à saisir dans le Tableau de Flux",A239)</f>
        <v>Saisir un nom  ex Dette 1</v>
      </c>
      <c r="B66" s="544"/>
      <c r="E66" s="648"/>
      <c r="F66" s="649"/>
      <c r="G66" s="650"/>
      <c r="H66" s="597">
        <f>H239-H245</f>
        <v>0</v>
      </c>
      <c r="I66" s="597">
        <f t="shared" ref="I66:N69" si="24">H66+I239-I245</f>
        <v>0</v>
      </c>
      <c r="J66" s="597">
        <f t="shared" si="24"/>
        <v>0</v>
      </c>
      <c r="K66" s="597">
        <f t="shared" si="24"/>
        <v>0</v>
      </c>
      <c r="L66" s="597">
        <f t="shared" si="24"/>
        <v>0</v>
      </c>
      <c r="M66" s="597">
        <f t="shared" si="24"/>
        <v>0</v>
      </c>
      <c r="N66" s="597">
        <f t="shared" si="24"/>
        <v>0</v>
      </c>
      <c r="O66" s="593" t="str">
        <f t="shared" ref="O66:O73" si="25">A66</f>
        <v>Saisir un nom  ex Dette 1</v>
      </c>
      <c r="Q66" s="592"/>
    </row>
    <row r="67" spans="1:24" s="510" customFormat="1" ht="14" hidden="1" customHeight="1" outlineLevel="1" x14ac:dyDescent="0.15">
      <c r="A67" s="647" t="str">
        <f>IF(OR(A240="Saisir un nom",A240=""),"Nom à saisir dans le Tableau de Flux",A240)</f>
        <v>Saisir un nom  ex Dette 2</v>
      </c>
      <c r="B67" s="544"/>
      <c r="E67" s="648"/>
      <c r="F67" s="651" t="s">
        <v>444</v>
      </c>
      <c r="G67" s="650"/>
      <c r="H67" s="597">
        <f>H240-H246</f>
        <v>0</v>
      </c>
      <c r="I67" s="597">
        <f t="shared" si="24"/>
        <v>0</v>
      </c>
      <c r="J67" s="597">
        <f t="shared" si="24"/>
        <v>0</v>
      </c>
      <c r="K67" s="597">
        <f t="shared" si="24"/>
        <v>0</v>
      </c>
      <c r="L67" s="597">
        <f t="shared" si="24"/>
        <v>0</v>
      </c>
      <c r="M67" s="597">
        <f t="shared" si="24"/>
        <v>0</v>
      </c>
      <c r="N67" s="597">
        <f t="shared" si="24"/>
        <v>0</v>
      </c>
      <c r="O67" s="593" t="str">
        <f t="shared" si="25"/>
        <v>Saisir un nom  ex Dette 2</v>
      </c>
      <c r="Q67" s="592"/>
    </row>
    <row r="68" spans="1:24" s="510" customFormat="1" ht="14" hidden="1" customHeight="1" outlineLevel="1" x14ac:dyDescent="0.15">
      <c r="A68" s="647" t="str">
        <f>IF(OR(A241="Saisir un nom",A241=""),"Nom à saisir dans le Tableau de Flux",A241)</f>
        <v>Saisir un nom  ex Dette 3</v>
      </c>
      <c r="B68" s="544"/>
      <c r="E68" s="648"/>
      <c r="F68" s="649"/>
      <c r="G68" s="650"/>
      <c r="H68" s="597">
        <f>H241-H247</f>
        <v>0</v>
      </c>
      <c r="I68" s="597">
        <f t="shared" si="24"/>
        <v>0</v>
      </c>
      <c r="J68" s="597">
        <f t="shared" si="24"/>
        <v>0</v>
      </c>
      <c r="K68" s="597">
        <f t="shared" si="24"/>
        <v>0</v>
      </c>
      <c r="L68" s="597">
        <f t="shared" si="24"/>
        <v>0</v>
      </c>
      <c r="M68" s="597">
        <f t="shared" si="24"/>
        <v>0</v>
      </c>
      <c r="N68" s="597">
        <f t="shared" si="24"/>
        <v>0</v>
      </c>
      <c r="O68" s="593" t="str">
        <f t="shared" si="25"/>
        <v>Saisir un nom  ex Dette 3</v>
      </c>
      <c r="Q68" s="592"/>
    </row>
    <row r="69" spans="1:24" s="510" customFormat="1" ht="14" hidden="1" customHeight="1" outlineLevel="1" x14ac:dyDescent="0.15">
      <c r="A69" s="647" t="str">
        <f>IF(OR(A242="Saisir un nom",A242=""),"Nom à saisir dans le Tableau de Flux",A242)</f>
        <v>Saisir un nom  ex Dette 4</v>
      </c>
      <c r="B69" s="544"/>
      <c r="E69" s="648"/>
      <c r="F69" s="649"/>
      <c r="G69" s="650"/>
      <c r="H69" s="597">
        <f>H242-H248</f>
        <v>0</v>
      </c>
      <c r="I69" s="597">
        <f t="shared" si="24"/>
        <v>0</v>
      </c>
      <c r="J69" s="597">
        <f t="shared" si="24"/>
        <v>0</v>
      </c>
      <c r="K69" s="597">
        <f t="shared" si="24"/>
        <v>0</v>
      </c>
      <c r="L69" s="597">
        <f t="shared" si="24"/>
        <v>0</v>
      </c>
      <c r="M69" s="597">
        <f t="shared" si="24"/>
        <v>0</v>
      </c>
      <c r="N69" s="597">
        <f t="shared" si="24"/>
        <v>0</v>
      </c>
      <c r="O69" s="593" t="str">
        <f t="shared" si="25"/>
        <v>Saisir un nom  ex Dette 4</v>
      </c>
      <c r="Q69" s="592"/>
    </row>
    <row r="70" spans="1:24" s="510" customFormat="1" ht="14" hidden="1" customHeight="1" outlineLevel="1" x14ac:dyDescent="0.15">
      <c r="A70" s="652" t="s">
        <v>445</v>
      </c>
      <c r="B70" s="544"/>
      <c r="E70" s="653" t="str">
        <f>IF(O22=1,"",IF(AND((E62-SUM(E71:E73))&gt;=-0.1,(E62-SUM(E71:E73)&lt;=0.1)),"","Erreur !"))</f>
        <v/>
      </c>
      <c r="F70" s="654" t="str">
        <f>IF(O22=1,"",IF(AND((F62-SUM(F71:F73))&gt;=-0.1,(F62-SUM(F71:F73)&lt;=0.1)),"","Erreur !"))</f>
        <v/>
      </c>
      <c r="G70" s="655" t="str">
        <f>IF(O22=1,"",IF(AND((G62-SUM(G71:G73))&gt;=-0.1,(G62-SUM(G71:G73)&lt;=0.1)),"","Saisie erronée !"))</f>
        <v/>
      </c>
      <c r="H70" s="597"/>
      <c r="I70" s="597"/>
      <c r="J70" s="597"/>
      <c r="K70" s="597"/>
      <c r="L70" s="597"/>
      <c r="M70" s="597"/>
      <c r="N70" s="597"/>
      <c r="O70" s="593" t="str">
        <f t="shared" si="25"/>
        <v>Anciennes Dettes à LMT :</v>
      </c>
      <c r="Q70" s="592"/>
    </row>
    <row r="71" spans="1:24" s="510" customFormat="1" ht="14" hidden="1" customHeight="1" outlineLevel="1" x14ac:dyDescent="0.15">
      <c r="A71" s="647" t="str">
        <f>IF(OR(A251="Saisir un nom",A251=""),"Nom à saisir dans le Tableau de Flux",A251)</f>
        <v>Nom à saisir dans le Tableau de Flux</v>
      </c>
      <c r="B71" s="544"/>
      <c r="E71" s="656">
        <f>F71-F251</f>
        <v>0</v>
      </c>
      <c r="F71" s="657">
        <f>IF(G71="A saisir",0,G71-G251)</f>
        <v>0</v>
      </c>
      <c r="G71" s="658" t="s">
        <v>446</v>
      </c>
      <c r="H71" s="597">
        <f>IF(G71="A saisir",0,G71+H251)</f>
        <v>0</v>
      </c>
      <c r="I71" s="597">
        <f t="shared" ref="I71:N73" si="26">H71+I251</f>
        <v>0</v>
      </c>
      <c r="J71" s="597">
        <f t="shared" si="26"/>
        <v>0</v>
      </c>
      <c r="K71" s="597">
        <f t="shared" si="26"/>
        <v>0</v>
      </c>
      <c r="L71" s="597">
        <f t="shared" si="26"/>
        <v>0</v>
      </c>
      <c r="M71" s="597">
        <f t="shared" si="26"/>
        <v>0</v>
      </c>
      <c r="N71" s="597">
        <f t="shared" si="26"/>
        <v>0</v>
      </c>
      <c r="O71" s="593" t="str">
        <f t="shared" si="25"/>
        <v>Nom à saisir dans le Tableau de Flux</v>
      </c>
      <c r="Q71" s="592"/>
    </row>
    <row r="72" spans="1:24" s="510" customFormat="1" ht="14" hidden="1" customHeight="1" outlineLevel="1" x14ac:dyDescent="0.15">
      <c r="A72" s="647" t="str">
        <f>IF(OR(A252="Saisir un nom",A252=""),"Nom à saisir dans le Tableau de Flux",A252)</f>
        <v>Nom à saisir dans le Tableau de Flux</v>
      </c>
      <c r="B72" s="544"/>
      <c r="E72" s="656">
        <f>F72-F252</f>
        <v>0</v>
      </c>
      <c r="F72" s="657">
        <f>IF(G72="A saisir",0,G72-G252)</f>
        <v>0</v>
      </c>
      <c r="G72" s="658" t="s">
        <v>446</v>
      </c>
      <c r="H72" s="597">
        <f>IF(G72="A saisir",0,G72+H252)</f>
        <v>0</v>
      </c>
      <c r="I72" s="597">
        <f t="shared" si="26"/>
        <v>0</v>
      </c>
      <c r="J72" s="597">
        <f t="shared" si="26"/>
        <v>0</v>
      </c>
      <c r="K72" s="597">
        <f t="shared" si="26"/>
        <v>0</v>
      </c>
      <c r="L72" s="597">
        <f t="shared" si="26"/>
        <v>0</v>
      </c>
      <c r="M72" s="597">
        <f t="shared" si="26"/>
        <v>0</v>
      </c>
      <c r="N72" s="597">
        <f t="shared" si="26"/>
        <v>0</v>
      </c>
      <c r="O72" s="593" t="str">
        <f t="shared" si="25"/>
        <v>Nom à saisir dans le Tableau de Flux</v>
      </c>
      <c r="Q72" s="592"/>
    </row>
    <row r="73" spans="1:24" s="510" customFormat="1" ht="14" hidden="1" customHeight="1" outlineLevel="1" x14ac:dyDescent="0.15">
      <c r="A73" s="647" t="str">
        <f>IF(OR(A253="Saisir un nom",A253=""),"Nom à saisir dans le Tableau de Flux",A253)</f>
        <v>Autres ''anciennes DLMT''</v>
      </c>
      <c r="B73" s="544"/>
      <c r="E73" s="656">
        <f>F73-F253</f>
        <v>0</v>
      </c>
      <c r="F73" s="657">
        <f>IF(G73="A saisir",0,G73-G253)</f>
        <v>0</v>
      </c>
      <c r="G73" s="658" t="s">
        <v>446</v>
      </c>
      <c r="H73" s="597">
        <f>IF(G73="A saisir",0,G73+H253)</f>
        <v>0</v>
      </c>
      <c r="I73" s="597">
        <f t="shared" si="26"/>
        <v>0</v>
      </c>
      <c r="J73" s="597">
        <f t="shared" si="26"/>
        <v>0</v>
      </c>
      <c r="K73" s="597">
        <f t="shared" si="26"/>
        <v>0</v>
      </c>
      <c r="L73" s="597">
        <f t="shared" si="26"/>
        <v>0</v>
      </c>
      <c r="M73" s="597">
        <f t="shared" si="26"/>
        <v>0</v>
      </c>
      <c r="N73" s="597">
        <f t="shared" si="26"/>
        <v>0</v>
      </c>
      <c r="O73" s="593" t="str">
        <f t="shared" si="25"/>
        <v>Autres ''anciennes DLMT''</v>
      </c>
      <c r="Q73" s="592"/>
    </row>
    <row r="74" spans="1:24" ht="14" customHeight="1" collapsed="1" x14ac:dyDescent="0.15">
      <c r="C74" s="560"/>
      <c r="D74" s="560"/>
      <c r="E74" s="633"/>
      <c r="F74" s="634"/>
      <c r="G74" s="635"/>
      <c r="H74" s="606"/>
      <c r="I74" s="606"/>
      <c r="J74" s="606"/>
      <c r="K74" s="606"/>
      <c r="L74" s="606"/>
      <c r="M74" s="606"/>
      <c r="N74" s="606"/>
      <c r="O74" s="560"/>
    </row>
    <row r="75" spans="1:24" s="510" customFormat="1" ht="14" customHeight="1" x14ac:dyDescent="0.15">
      <c r="A75" s="510" t="s">
        <v>142</v>
      </c>
      <c r="E75" s="380">
        <f>SUM(E76:E78)+E80</f>
        <v>411392.10860000004</v>
      </c>
      <c r="F75" s="381">
        <f>SUM(F76:F78)+F80</f>
        <v>528227.16100000008</v>
      </c>
      <c r="G75" s="428">
        <f>SUM(G76:G78)+G80</f>
        <v>827769.88800000004</v>
      </c>
      <c r="H75" s="552">
        <f t="shared" ref="H75:N75" si="27">SUM(H76:H78)+H80</f>
        <v>844.24199999994426</v>
      </c>
      <c r="I75" s="552">
        <f t="shared" si="27"/>
        <v>844.24199999994426</v>
      </c>
      <c r="J75" s="552">
        <f t="shared" si="27"/>
        <v>844.24199999994426</v>
      </c>
      <c r="K75" s="552">
        <f t="shared" si="27"/>
        <v>844.24199999994426</v>
      </c>
      <c r="L75" s="552">
        <f t="shared" si="27"/>
        <v>844.24199999994426</v>
      </c>
      <c r="M75" s="552">
        <f t="shared" si="27"/>
        <v>844.24199999994426</v>
      </c>
      <c r="N75" s="552">
        <f t="shared" si="27"/>
        <v>844.24199999994426</v>
      </c>
      <c r="O75" s="510" t="s">
        <v>142</v>
      </c>
    </row>
    <row r="76" spans="1:24" ht="14" customHeight="1" x14ac:dyDescent="0.15">
      <c r="A76" s="255" t="s">
        <v>447</v>
      </c>
      <c r="E76" s="608">
        <f>Etatsfin!K25</f>
        <v>296.01150000000001</v>
      </c>
      <c r="F76" s="609">
        <f>Etatsfin!L25</f>
        <v>0</v>
      </c>
      <c r="G76" s="610">
        <f>Etatsfin!M25</f>
        <v>0</v>
      </c>
      <c r="H76" s="559">
        <f>Hypo!H54*H104/360</f>
        <v>0</v>
      </c>
      <c r="I76" s="559">
        <f>Hypo!I54*I104/360</f>
        <v>0</v>
      </c>
      <c r="J76" s="559">
        <f>Hypo!J54*J104/360</f>
        <v>0</v>
      </c>
      <c r="K76" s="559">
        <f>Hypo!K54*K104/360</f>
        <v>0</v>
      </c>
      <c r="L76" s="559">
        <f>Hypo!L54*L104/360</f>
        <v>0</v>
      </c>
      <c r="M76" s="559">
        <f>Hypo!M54*M104/360</f>
        <v>0</v>
      </c>
      <c r="N76" s="559">
        <f>Hypo!N54*N104/360</f>
        <v>0</v>
      </c>
      <c r="O76" s="255" t="s">
        <v>447</v>
      </c>
    </row>
    <row r="77" spans="1:24" ht="14" customHeight="1" x14ac:dyDescent="0.15">
      <c r="A77" s="255" t="s">
        <v>147</v>
      </c>
      <c r="E77" s="608">
        <f>Etatsfin!K26</f>
        <v>205984.72002000001</v>
      </c>
      <c r="F77" s="609">
        <f>Etatsfin!L26</f>
        <v>130093.202</v>
      </c>
      <c r="G77" s="610">
        <f>Etatsfin!M26</f>
        <v>331432.50400000002</v>
      </c>
      <c r="H77" s="559">
        <f>Hypo!H53*H115/360</f>
        <v>0</v>
      </c>
      <c r="I77" s="559">
        <f>Hypo!I53*I115/360</f>
        <v>0</v>
      </c>
      <c r="J77" s="559">
        <f>Hypo!J53*J115/360</f>
        <v>0</v>
      </c>
      <c r="K77" s="559">
        <f>Hypo!K53*K115/360</f>
        <v>0</v>
      </c>
      <c r="L77" s="559">
        <f>Hypo!L53*L115/360</f>
        <v>0</v>
      </c>
      <c r="M77" s="559">
        <f>Hypo!M53*M115/360</f>
        <v>0</v>
      </c>
      <c r="N77" s="559">
        <f>Hypo!N53*N115/360</f>
        <v>0</v>
      </c>
      <c r="O77" s="255" t="s">
        <v>147</v>
      </c>
    </row>
    <row r="78" spans="1:24" ht="14" customHeight="1" x14ac:dyDescent="0.15">
      <c r="A78" s="255" t="s">
        <v>149</v>
      </c>
      <c r="E78" s="608">
        <f>Etatsfin!K27</f>
        <v>16214.818780000001</v>
      </c>
      <c r="F78" s="609">
        <f>Etatsfin!L27</f>
        <v>230249.90599999999</v>
      </c>
      <c r="G78" s="610">
        <f>Etatsfin!M27</f>
        <v>44421.924999999996</v>
      </c>
      <c r="H78" s="559">
        <f>(Hypo!H55*H104/360)+H79</f>
        <v>844.24199999994426</v>
      </c>
      <c r="I78" s="559">
        <f>(Hypo!I55*I104/360)+I79</f>
        <v>844.24199999994426</v>
      </c>
      <c r="J78" s="559">
        <f>(Hypo!J55*J104/360)+J79</f>
        <v>844.24199999994426</v>
      </c>
      <c r="K78" s="559">
        <f>(Hypo!K55*K104/360)+K79</f>
        <v>844.24199999994426</v>
      </c>
      <c r="L78" s="559">
        <f>(Hypo!L55*L104/360)+L79</f>
        <v>844.24199999994426</v>
      </c>
      <c r="M78" s="559">
        <f>(Hypo!M55*M104/360)+M79</f>
        <v>844.24199999994426</v>
      </c>
      <c r="N78" s="559">
        <f>(Hypo!N55*N104/360)+N79</f>
        <v>844.24199999994426</v>
      </c>
      <c r="O78" s="255" t="s">
        <v>149</v>
      </c>
    </row>
    <row r="79" spans="1:24" ht="14" customHeight="1" x14ac:dyDescent="0.15">
      <c r="A79" s="592" t="s">
        <v>448</v>
      </c>
      <c r="B79" s="592"/>
      <c r="C79" s="587"/>
      <c r="D79" s="587"/>
      <c r="E79" s="659">
        <f>Etatsfin!K28</f>
        <v>0</v>
      </c>
      <c r="F79" s="660">
        <f>Etatsfin!L28</f>
        <v>0</v>
      </c>
      <c r="G79" s="661">
        <f>Etatsfin!M28</f>
        <v>844.24800000000005</v>
      </c>
      <c r="H79" s="662">
        <f t="shared" ref="H79:M79" si="28">(G79+H156)-H256+I256</f>
        <v>844.24199999994426</v>
      </c>
      <c r="I79" s="662">
        <f t="shared" si="28"/>
        <v>844.24199999994426</v>
      </c>
      <c r="J79" s="662">
        <f t="shared" si="28"/>
        <v>844.24199999994426</v>
      </c>
      <c r="K79" s="662">
        <f t="shared" si="28"/>
        <v>844.24199999994426</v>
      </c>
      <c r="L79" s="662">
        <f t="shared" si="28"/>
        <v>844.24199999994426</v>
      </c>
      <c r="M79" s="662">
        <f t="shared" si="28"/>
        <v>844.24199999994426</v>
      </c>
      <c r="N79" s="662">
        <f>(M79+N156)-N256+R256</f>
        <v>844.24199999994426</v>
      </c>
      <c r="O79" s="587" t="s">
        <v>448</v>
      </c>
      <c r="P79" s="592"/>
      <c r="Q79" s="592"/>
      <c r="R79" s="592"/>
    </row>
    <row r="80" spans="1:24" ht="14" customHeight="1" x14ac:dyDescent="0.15">
      <c r="A80" s="255" t="s">
        <v>152</v>
      </c>
      <c r="C80" s="560"/>
      <c r="D80" s="560"/>
      <c r="E80" s="608">
        <f>Etatsfin!K29</f>
        <v>188896.5583</v>
      </c>
      <c r="F80" s="609">
        <f>Etatsfin!L29</f>
        <v>167884.05300000001</v>
      </c>
      <c r="G80" s="610">
        <f>Etatsfin!M29</f>
        <v>451915.45899999997</v>
      </c>
      <c r="H80" s="559">
        <f>IF(H97&gt;=Hypo!H70,H98,H98+H197)</f>
        <v>0</v>
      </c>
      <c r="I80" s="559">
        <f>IF(I97&gt;=Hypo!I70,I98,I98+I197)</f>
        <v>0</v>
      </c>
      <c r="J80" s="559">
        <f>IF(J97&gt;=Hypo!J70,J98,J98+J197)</f>
        <v>0</v>
      </c>
      <c r="K80" s="559">
        <f>IF(K97&gt;=Hypo!K70,K98,K98+K197)</f>
        <v>0</v>
      </c>
      <c r="L80" s="559">
        <f>IF(L97&gt;=Hypo!L70,L98,L98+L197)</f>
        <v>0</v>
      </c>
      <c r="M80" s="559">
        <f>IF(M97&gt;=Hypo!M70,M98,M98+M197)</f>
        <v>0</v>
      </c>
      <c r="N80" s="559">
        <f>IF(N97&gt;=Hypo!N70,N98,N98+N197)</f>
        <v>0</v>
      </c>
      <c r="O80" s="560" t="s">
        <v>152</v>
      </c>
    </row>
    <row r="81" spans="1:18" ht="14" customHeight="1" x14ac:dyDescent="0.15">
      <c r="A81" s="554"/>
      <c r="B81" s="554"/>
      <c r="C81" s="555"/>
      <c r="D81" s="555"/>
      <c r="E81" s="663"/>
      <c r="F81" s="664"/>
      <c r="G81" s="665"/>
      <c r="H81" s="559"/>
      <c r="I81" s="559"/>
      <c r="J81" s="559"/>
      <c r="K81" s="559"/>
      <c r="L81" s="559"/>
      <c r="M81" s="559"/>
      <c r="N81" s="559"/>
      <c r="O81" s="555"/>
    </row>
    <row r="82" spans="1:18" s="510" customFormat="1" ht="14" customHeight="1" x14ac:dyDescent="0.2">
      <c r="A82" s="615" t="s">
        <v>449</v>
      </c>
      <c r="E82" s="385">
        <f t="shared" ref="E82:N82" si="29">E55+E60+E62+E75</f>
        <v>646090.26768000005</v>
      </c>
      <c r="F82" s="386">
        <f t="shared" si="29"/>
        <v>777771.80100000009</v>
      </c>
      <c r="G82" s="616">
        <f t="shared" si="29"/>
        <v>1108587.3360000001</v>
      </c>
      <c r="H82" s="552">
        <f t="shared" si="29"/>
        <v>281661.68999999994</v>
      </c>
      <c r="I82" s="552">
        <f t="shared" si="29"/>
        <v>281661.68999999994</v>
      </c>
      <c r="J82" s="552">
        <f t="shared" si="29"/>
        <v>281661.68999999994</v>
      </c>
      <c r="K82" s="552">
        <f t="shared" si="29"/>
        <v>281661.68999999994</v>
      </c>
      <c r="L82" s="552">
        <f t="shared" si="29"/>
        <v>281661.68999999994</v>
      </c>
      <c r="M82" s="552">
        <f t="shared" si="29"/>
        <v>281661.68999999994</v>
      </c>
      <c r="N82" s="552">
        <f t="shared" si="29"/>
        <v>281661.68999999994</v>
      </c>
      <c r="O82" s="615" t="s">
        <v>449</v>
      </c>
    </row>
    <row r="83" spans="1:18" s="510" customFormat="1" ht="14" customHeight="1" x14ac:dyDescent="0.15">
      <c r="E83" s="607"/>
      <c r="F83" s="607"/>
      <c r="G83" s="607"/>
      <c r="H83" s="607"/>
      <c r="I83" s="607"/>
      <c r="J83" s="607"/>
      <c r="K83" s="607"/>
      <c r="L83" s="607"/>
      <c r="M83" s="607"/>
      <c r="N83" s="607"/>
    </row>
    <row r="84" spans="1:18" s="510" customFormat="1" ht="14" customHeight="1" x14ac:dyDescent="0.15">
      <c r="A84" s="666"/>
      <c r="B84" s="667"/>
      <c r="C84" s="667"/>
      <c r="D84" s="667"/>
      <c r="E84" s="668"/>
      <c r="F84" s="668"/>
      <c r="G84" s="669"/>
      <c r="H84" s="607"/>
      <c r="I84" s="607"/>
      <c r="J84" s="607"/>
      <c r="K84" s="607"/>
      <c r="L84" s="607"/>
      <c r="M84" s="607"/>
      <c r="N84" s="607"/>
      <c r="O84" s="666"/>
    </row>
    <row r="85" spans="1:18" s="510" customFormat="1" ht="14" customHeight="1" x14ac:dyDescent="0.15">
      <c r="A85" s="670" t="s">
        <v>450</v>
      </c>
      <c r="B85" s="671"/>
      <c r="C85" s="671"/>
      <c r="D85" s="671"/>
      <c r="E85" s="672">
        <f>Etatsfin!E36</f>
        <v>139481.70567999996</v>
      </c>
      <c r="F85" s="673">
        <f>Etatsfin!F36</f>
        <v>293017.16100000002</v>
      </c>
      <c r="G85" s="674">
        <f>Etatsfin!G36</f>
        <v>531193.91300000006</v>
      </c>
      <c r="H85" s="675">
        <f t="shared" ref="H85:N85" si="30">SUM(H44:H46)-SUM(H76:H78)+H79</f>
        <v>0</v>
      </c>
      <c r="I85" s="675">
        <f t="shared" si="30"/>
        <v>0</v>
      </c>
      <c r="J85" s="675">
        <f t="shared" si="30"/>
        <v>0</v>
      </c>
      <c r="K85" s="675">
        <f t="shared" si="30"/>
        <v>0</v>
      </c>
      <c r="L85" s="675">
        <f t="shared" si="30"/>
        <v>0</v>
      </c>
      <c r="M85" s="675">
        <f t="shared" si="30"/>
        <v>0</v>
      </c>
      <c r="N85" s="675">
        <f t="shared" si="30"/>
        <v>0</v>
      </c>
      <c r="O85" s="670" t="s">
        <v>450</v>
      </c>
    </row>
    <row r="86" spans="1:18" ht="14" customHeight="1" x14ac:dyDescent="0.15">
      <c r="A86" s="676" t="str">
        <f>Ratios!A58</f>
        <v xml:space="preserve"> BFR (Jours de CA)</v>
      </c>
      <c r="B86" s="676"/>
      <c r="C86" s="676"/>
      <c r="D86" s="676"/>
      <c r="E86" s="677">
        <f>IF(E104=0,"n/d ",(E85/E104)*360*R27)</f>
        <v>70.129975242191932</v>
      </c>
      <c r="F86" s="678">
        <f>IF(F104=0,"n/d ",(F85/F104)*360*S27)</f>
        <v>125.75104666942404</v>
      </c>
      <c r="G86" s="679">
        <f>IF(G104=0,"n/d ",(G85/G104)*360*T27)</f>
        <v>118.32029131463703</v>
      </c>
      <c r="H86" s="680">
        <f>H301</f>
        <v>0</v>
      </c>
      <c r="I86" s="680">
        <f t="shared" ref="I86:N86" si="31">I301</f>
        <v>0</v>
      </c>
      <c r="J86" s="680">
        <f t="shared" si="31"/>
        <v>0</v>
      </c>
      <c r="K86" s="680">
        <f t="shared" si="31"/>
        <v>0</v>
      </c>
      <c r="L86" s="680">
        <f t="shared" si="31"/>
        <v>0</v>
      </c>
      <c r="M86" s="680">
        <f t="shared" si="31"/>
        <v>0</v>
      </c>
      <c r="N86" s="680">
        <f t="shared" si="31"/>
        <v>0</v>
      </c>
      <c r="O86" s="676" t="str">
        <f>Ratios!A58</f>
        <v xml:space="preserve"> BFR (Jours de CA)</v>
      </c>
      <c r="P86" s="676"/>
      <c r="Q86" s="676"/>
      <c r="R86" s="676"/>
    </row>
    <row r="87" spans="1:18" s="510" customFormat="1" ht="14" customHeight="1" x14ac:dyDescent="0.15">
      <c r="A87" s="681"/>
      <c r="B87" s="667"/>
      <c r="C87" s="667"/>
      <c r="D87" s="667"/>
      <c r="E87" s="668"/>
      <c r="F87" s="668"/>
      <c r="G87" s="682"/>
      <c r="H87" s="607"/>
      <c r="I87" s="607"/>
      <c r="J87" s="607"/>
      <c r="K87" s="607"/>
      <c r="L87" s="607"/>
      <c r="M87" s="607"/>
      <c r="N87" s="607"/>
      <c r="O87" s="681"/>
    </row>
    <row r="88" spans="1:18" s="510" customFormat="1" ht="14" customHeight="1" x14ac:dyDescent="0.2">
      <c r="A88" s="615" t="s">
        <v>597</v>
      </c>
      <c r="E88" s="607"/>
      <c r="F88" s="607"/>
      <c r="G88" s="607"/>
      <c r="H88" s="607"/>
      <c r="I88" s="607"/>
      <c r="J88" s="607"/>
      <c r="K88" s="607"/>
      <c r="L88" s="607"/>
      <c r="M88" s="607"/>
      <c r="N88" s="607"/>
      <c r="O88" s="510" t="s">
        <v>598</v>
      </c>
    </row>
    <row r="89" spans="1:18" s="510" customFormat="1" ht="14" customHeight="1" x14ac:dyDescent="0.15">
      <c r="A89" s="255" t="s">
        <v>451</v>
      </c>
      <c r="B89" s="255"/>
      <c r="C89" s="255"/>
      <c r="D89" s="255"/>
      <c r="E89" s="683">
        <f>Etatsfin!K34</f>
        <v>0</v>
      </c>
      <c r="F89" s="684">
        <f>Etatsfin!L34</f>
        <v>0</v>
      </c>
      <c r="G89" s="685">
        <f>Etatsfin!M34</f>
        <v>0</v>
      </c>
      <c r="H89" s="559">
        <f>Hypo!H69*H104/360</f>
        <v>0</v>
      </c>
      <c r="I89" s="559">
        <f>Hypo!I69*I104/360</f>
        <v>0</v>
      </c>
      <c r="J89" s="559">
        <f>Hypo!J69*J104/360</f>
        <v>0</v>
      </c>
      <c r="K89" s="559">
        <f>Hypo!K69*K104/360</f>
        <v>0</v>
      </c>
      <c r="L89" s="559">
        <f>Hypo!L69*L104/360</f>
        <v>0</v>
      </c>
      <c r="M89" s="559">
        <f>Hypo!M69*M104/360</f>
        <v>0</v>
      </c>
      <c r="N89" s="559">
        <f>Hypo!N69*N104/360</f>
        <v>0</v>
      </c>
      <c r="O89" s="255" t="s">
        <v>451</v>
      </c>
    </row>
    <row r="90" spans="1:18" s="510" customFormat="1" ht="14" customHeight="1" x14ac:dyDescent="0.15">
      <c r="A90" s="255" t="s">
        <v>452</v>
      </c>
      <c r="B90" s="255"/>
      <c r="C90" s="255"/>
      <c r="D90" s="255"/>
      <c r="E90" s="686">
        <f>Etatsfin!K35</f>
        <v>0</v>
      </c>
      <c r="F90" s="687">
        <f>Etatsfin!L35</f>
        <v>16633.221000000001</v>
      </c>
      <c r="G90" s="688">
        <f>Etatsfin!M35</f>
        <v>12000</v>
      </c>
      <c r="H90" s="559">
        <f>G90+Hypo!H47-Hypo!H48</f>
        <v>12000</v>
      </c>
      <c r="I90" s="559">
        <f>H90+Hypo!I47-Hypo!I48</f>
        <v>12000</v>
      </c>
      <c r="J90" s="559">
        <f>I90+Hypo!J47-Hypo!J48</f>
        <v>12000</v>
      </c>
      <c r="K90" s="559">
        <f>J90+Hypo!K47-Hypo!K48</f>
        <v>12000</v>
      </c>
      <c r="L90" s="559">
        <f>K90+Hypo!L47-Hypo!L48</f>
        <v>12000</v>
      </c>
      <c r="M90" s="559">
        <f>L90+Hypo!M47-Hypo!M48</f>
        <v>12000</v>
      </c>
      <c r="N90" s="559">
        <f>M90+Hypo!N47-Hypo!N48</f>
        <v>12000</v>
      </c>
      <c r="O90" s="255" t="s">
        <v>452</v>
      </c>
    </row>
    <row r="91" spans="1:18" ht="14" customHeight="1" x14ac:dyDescent="0.15">
      <c r="E91" s="583"/>
      <c r="F91" s="583"/>
      <c r="G91" s="583"/>
      <c r="H91" s="583"/>
      <c r="I91" s="583"/>
      <c r="J91" s="583"/>
      <c r="K91" s="583"/>
      <c r="L91" s="583"/>
      <c r="M91" s="583"/>
      <c r="N91" s="583"/>
    </row>
    <row r="92" spans="1:18" ht="14" customHeight="1" x14ac:dyDescent="0.15">
      <c r="E92" s="583"/>
      <c r="F92" s="583"/>
      <c r="G92" s="583"/>
      <c r="H92" s="583"/>
      <c r="I92" s="583"/>
      <c r="J92" s="583"/>
      <c r="K92" s="583"/>
      <c r="L92" s="583"/>
      <c r="M92" s="689">
        <f ca="1">NOW()</f>
        <v>46304.722831944448</v>
      </c>
      <c r="N92" s="274" t="s">
        <v>453</v>
      </c>
    </row>
    <row r="93" spans="1:18" ht="14" customHeight="1" x14ac:dyDescent="0.15">
      <c r="E93" s="583"/>
      <c r="F93" s="583"/>
      <c r="G93" s="583"/>
      <c r="H93" s="583"/>
      <c r="I93" s="583"/>
      <c r="J93" s="583"/>
      <c r="K93" s="583"/>
      <c r="L93" s="583"/>
      <c r="M93" s="583"/>
      <c r="N93" s="583"/>
    </row>
    <row r="94" spans="1:18" s="510" customFormat="1" ht="14" customHeight="1" x14ac:dyDescent="0.15">
      <c r="A94" s="690" t="s">
        <v>454</v>
      </c>
      <c r="B94" s="691"/>
      <c r="C94" s="692"/>
      <c r="D94" s="692"/>
      <c r="E94" s="690" t="str">
        <f>IF(AND(E49=0,E82=0),"n/d",IF(AND((E49-E82)&gt;=-0.1,(E49-E82)&lt;=0.1,E49&gt;0,E82&gt;0),"ok","Erreur !"))</f>
        <v>ok</v>
      </c>
      <c r="F94" s="690" t="str">
        <f t="shared" ref="F94:N94" si="32">IF(AND(F49=0,F82=0),"n/d",IF(AND((F49-F82)&gt;=-0.1,(F49-F82)&lt;=0.1,F49&gt;0,F82&gt;0),"ok","Erreur !"))</f>
        <v>ok</v>
      </c>
      <c r="G94" s="690" t="str">
        <f t="shared" si="32"/>
        <v>ok</v>
      </c>
      <c r="H94" s="690" t="str">
        <f t="shared" si="32"/>
        <v>ok</v>
      </c>
      <c r="I94" s="690" t="str">
        <f t="shared" si="32"/>
        <v>ok</v>
      </c>
      <c r="J94" s="690" t="str">
        <f t="shared" si="32"/>
        <v>ok</v>
      </c>
      <c r="K94" s="690" t="str">
        <f t="shared" si="32"/>
        <v>ok</v>
      </c>
      <c r="L94" s="690" t="str">
        <f t="shared" si="32"/>
        <v>ok</v>
      </c>
      <c r="M94" s="690" t="str">
        <f t="shared" si="32"/>
        <v>ok</v>
      </c>
      <c r="N94" s="690" t="str">
        <f t="shared" si="32"/>
        <v>ok</v>
      </c>
      <c r="O94" s="693" t="s">
        <v>454</v>
      </c>
      <c r="P94" s="694"/>
      <c r="Q94" s="694"/>
    </row>
    <row r="95" spans="1:18" s="510" customFormat="1" ht="14" customHeight="1" x14ac:dyDescent="0.15">
      <c r="A95" s="695"/>
      <c r="B95" s="696"/>
      <c r="C95" s="697"/>
      <c r="D95" s="697"/>
      <c r="E95" s="698"/>
      <c r="F95" s="698"/>
      <c r="G95" s="699"/>
      <c r="H95" s="698"/>
      <c r="I95" s="698"/>
      <c r="J95" s="698"/>
      <c r="K95" s="698"/>
      <c r="L95" s="698"/>
      <c r="M95" s="698"/>
      <c r="N95" s="700"/>
      <c r="O95" s="698"/>
    </row>
    <row r="96" spans="1:18" s="510" customFormat="1" ht="14" customHeight="1" x14ac:dyDescent="0.15">
      <c r="A96" s="695"/>
      <c r="B96" s="696"/>
      <c r="C96" s="697"/>
      <c r="D96" s="697"/>
      <c r="E96" s="698"/>
      <c r="F96" s="698"/>
      <c r="G96" s="698"/>
      <c r="H96" s="698"/>
      <c r="I96" s="698"/>
      <c r="J96" s="698"/>
      <c r="K96" s="698"/>
      <c r="L96" s="698"/>
      <c r="M96" s="698"/>
      <c r="N96" s="700"/>
      <c r="O96" s="698"/>
    </row>
    <row r="97" spans="1:18" s="544" customFormat="1" ht="45" hidden="1" customHeight="1" x14ac:dyDescent="0.15">
      <c r="A97" s="701" t="s">
        <v>455</v>
      </c>
      <c r="B97" s="702" t="s">
        <v>456</v>
      </c>
      <c r="C97" s="702"/>
      <c r="D97" s="702"/>
      <c r="E97" s="703"/>
      <c r="F97" s="703"/>
      <c r="G97" s="704">
        <f>IF((G47-G80)&gt;0,G47-G80,0)</f>
        <v>0</v>
      </c>
      <c r="H97" s="705">
        <f>IF(H182&gt;=0,G97-G98+(Hypo!H57+H165)+(H60-G60)+(H62-G62)+H76+H77+(Hypo!H55*H104/360)+(G79+H156)-H256-SUM(G76:G78)-(H28-G28)-SUM(H44:H46)+SUM(G44:G46),0)</f>
        <v>184164.62199999997</v>
      </c>
      <c r="I97" s="705">
        <f>IF(I182&gt;=0,H47-H80+(Hypo!I57+I165)+(I60-H60)+(I62-H62)+I76+I77+(Hypo!I55*I104/360)+(H79+I156)-I256-SUM(H76:H78)-(I28-H28)-SUM(I44:I46)+SUM(H44:H46),0)</f>
        <v>184164.62199999997</v>
      </c>
      <c r="J97" s="705">
        <f>IF(J182&gt;=0,I47-I80+(Hypo!J57+J165)+(J60-I60)+(J62-I62)+J76+J77+(Hypo!J55*J104/360)+(I79+J156)-J256-SUM(I76:I78)-(J28-I28)-SUM(J44:J46)+SUM(I44:I46),0)</f>
        <v>184164.62199999997</v>
      </c>
      <c r="K97" s="705">
        <f>IF(K182&gt;=0,J47-J80+(Hypo!K57+K165)+(K60-J60)+(K62-J62)+K76+K77+(Hypo!K55*K104/360)+(J79+K156)-K256-SUM(J76:J78)-(K28-J28)-SUM(K44:K46)+SUM(J44:J46),0)</f>
        <v>184164.62199999997</v>
      </c>
      <c r="L97" s="705">
        <f>IF(L182&gt;=0,K47-K80+(Hypo!L57+L165)+(L60-K60)+(L62-K62)+L76+L77+(Hypo!L55*L104/360)+(K79+L156)-L256-SUM(K76:K78)-(L28-K28)-SUM(L44:L46)+SUM(K44:K46),0)</f>
        <v>184164.62199999997</v>
      </c>
      <c r="M97" s="705">
        <f>IF(M182&gt;=0,L47-L80+(Hypo!M57+M165)+(M60-L60)+(M62-L62)+M76+M77+(Hypo!M55*M104/360)+(L79+M156)-M256-SUM(L76:L78)-(M28-L28)-SUM(M44:M46)+SUM(L44:L46),0)</f>
        <v>184164.62199999997</v>
      </c>
      <c r="N97" s="706">
        <f>IF(N182&gt;=0,M47-M80+(Hypo!N57+N165)+(N60-M60)+(N62-M62)+N76+N77+(Hypo!N55*N104/360)+(M79+N156)-N256-SUM(M76:M78)-(N28-M28)-SUM(N44:N46)+SUM(M44:M46),0)</f>
        <v>184164.62199999997</v>
      </c>
      <c r="O97" s="707"/>
      <c r="P97" s="707"/>
      <c r="Q97" s="707"/>
      <c r="R97" s="708"/>
    </row>
    <row r="98" spans="1:18" s="544" customFormat="1" ht="14" hidden="1" customHeight="1" x14ac:dyDescent="0.15">
      <c r="A98" s="709" t="s">
        <v>457</v>
      </c>
      <c r="B98" s="710" t="s">
        <v>458</v>
      </c>
      <c r="C98" s="710"/>
      <c r="D98" s="710"/>
      <c r="E98" s="711"/>
      <c r="F98" s="711"/>
      <c r="G98" s="712">
        <f>IF((G47-G80)&lt;=0,G80-G47,0)</f>
        <v>347295.76</v>
      </c>
      <c r="H98" s="713">
        <f>IF(H182&lt;0,G98-G97-(Hypo!H57+(H165-I256))-(H60-G60)-(H62-G62)-SUM(H76:H78)+SUM(G76:G78)+(H28-G28)+SUM(H44:H46)-SUM(G44:G46),0)</f>
        <v>0</v>
      </c>
      <c r="I98" s="713">
        <f>IF(I182&lt;0,H80-H47-(Hypo!I57+(I165-J256))-(I60-H60)-(I62-H62)-SUM(I76:I78)+SUM(H76:H78)+(I28-H28)+SUM(I44:I46)-SUM(H44:H46),0)</f>
        <v>0</v>
      </c>
      <c r="J98" s="713">
        <f>IF(J182&lt;0,I80-I47-(Hypo!J57+(J165-K256))-(J60-I60)-(J62-I62)-SUM(J76:J78)+SUM(I76:I78)+(J28-I28)+SUM(J44:J46)-SUM(I44:I46),0)</f>
        <v>0</v>
      </c>
      <c r="K98" s="713">
        <f>IF(K182&lt;0,J80-J47-(Hypo!K57+(K165-L256))-(K60-J60)-(K62-J62)-SUM(K76:K78)+SUM(J76:J78)+(K28-J28)+SUM(K44:K46)-SUM(J44:J46),0)</f>
        <v>0</v>
      </c>
      <c r="L98" s="713">
        <f>IF(L182&lt;0,K80-K47-(Hypo!L57+(L165-M256))-(L60-K60)-(L62-K62)-SUM(L76:L78)+SUM(K76:K78)+(L28-K28)+SUM(L44:L46)-SUM(K44:K46),0)</f>
        <v>0</v>
      </c>
      <c r="M98" s="713">
        <f>IF(M182&lt;0,L80-L47-(Hypo!M57+(M165-N256))-(M60-L60)-(M62-L62)-SUM(M76:M78)+SUM(L76:L78)+(M28-L28)+SUM(M44:M46)-SUM(L44:L46),0)</f>
        <v>0</v>
      </c>
      <c r="N98" s="714">
        <f>IF(N182&lt;0,M80-M47-(Hypo!N57+(N165-R256))-(N60-M60)-(N62-M62)-SUM(N76:N78)+SUM(M76:M78)+(N28-M28)+SUM(N44:N46)-SUM(M44:M46),0)</f>
        <v>0</v>
      </c>
    </row>
    <row r="99" spans="1:18" ht="14" customHeight="1" x14ac:dyDescent="0.15">
      <c r="E99" s="715"/>
      <c r="F99" s="715"/>
      <c r="G99" s="715"/>
      <c r="H99" s="715"/>
      <c r="I99" s="715"/>
    </row>
    <row r="100" spans="1:18" s="510" customFormat="1" ht="14" customHeight="1" x14ac:dyDescent="0.2">
      <c r="A100" s="530"/>
      <c r="B100" s="530"/>
      <c r="E100" s="618" t="str">
        <f>E25</f>
        <v>Historique</v>
      </c>
      <c r="F100" s="618"/>
      <c r="G100" s="618"/>
      <c r="H100" s="618" t="str">
        <f>H25</f>
        <v>Prévisions</v>
      </c>
      <c r="I100" s="618"/>
      <c r="J100" s="619"/>
      <c r="K100" s="619"/>
      <c r="L100" s="619"/>
      <c r="M100" s="619"/>
      <c r="N100" s="619"/>
    </row>
    <row r="101" spans="1:18" s="510" customFormat="1" ht="14" customHeight="1" x14ac:dyDescent="0.2">
      <c r="A101" s="615" t="s">
        <v>599</v>
      </c>
      <c r="B101" s="716"/>
      <c r="C101" s="717"/>
      <c r="D101" s="717"/>
      <c r="E101" s="321">
        <f>E26</f>
        <v>39783</v>
      </c>
      <c r="F101" s="321">
        <f>F26</f>
        <v>40178</v>
      </c>
      <c r="G101" s="321">
        <f>G26</f>
        <v>40543</v>
      </c>
      <c r="H101" s="321">
        <f>H26</f>
        <v>40909</v>
      </c>
      <c r="I101" s="321">
        <f t="shared" ref="I101:N101" si="33">I26</f>
        <v>41275</v>
      </c>
      <c r="J101" s="321">
        <f t="shared" si="33"/>
        <v>41641</v>
      </c>
      <c r="K101" s="321">
        <f t="shared" si="33"/>
        <v>42007</v>
      </c>
      <c r="L101" s="321">
        <f t="shared" si="33"/>
        <v>42373</v>
      </c>
      <c r="M101" s="321">
        <f t="shared" si="33"/>
        <v>42739</v>
      </c>
      <c r="N101" s="321">
        <f t="shared" si="33"/>
        <v>43105</v>
      </c>
      <c r="O101" s="510" t="s">
        <v>600</v>
      </c>
    </row>
    <row r="102" spans="1:18" ht="14" customHeight="1" x14ac:dyDescent="0.15">
      <c r="B102" s="554"/>
      <c r="C102" s="555"/>
      <c r="D102" s="555"/>
      <c r="E102" s="718"/>
      <c r="F102" s="718"/>
      <c r="G102" s="718"/>
      <c r="H102" s="718"/>
      <c r="I102" s="718"/>
      <c r="J102" s="718"/>
      <c r="K102" s="718"/>
      <c r="L102" s="718"/>
      <c r="M102" s="718"/>
      <c r="N102" s="718"/>
    </row>
    <row r="103" spans="1:18" ht="14" hidden="1" customHeight="1" x14ac:dyDescent="0.15">
      <c r="E103" s="719"/>
      <c r="F103" s="719"/>
      <c r="G103" s="719"/>
      <c r="H103" s="720">
        <f>IF(Hypo!H33="",0,Hypo!H33)</f>
        <v>0</v>
      </c>
      <c r="I103" s="721">
        <f>IF(Hypo!I33="",0,Hypo!I33)</f>
        <v>0</v>
      </c>
      <c r="J103" s="721">
        <f>IF(Hypo!J33="",0,Hypo!J33)</f>
        <v>0</v>
      </c>
      <c r="K103" s="721">
        <f>IF(Hypo!K33="",0,Hypo!K33)</f>
        <v>0</v>
      </c>
      <c r="L103" s="721">
        <f>IF(Hypo!L33="",0,Hypo!L33)</f>
        <v>0</v>
      </c>
      <c r="M103" s="721">
        <f>IF(Hypo!M33="",0,Hypo!M33)</f>
        <v>0</v>
      </c>
      <c r="N103" s="722">
        <f>IF(Hypo!N33="",0,Hypo!N33)</f>
        <v>0</v>
      </c>
    </row>
    <row r="104" spans="1:18" s="510" customFormat="1" ht="14" customHeight="1" x14ac:dyDescent="0.15">
      <c r="A104" s="510" t="s">
        <v>459</v>
      </c>
      <c r="E104" s="723">
        <f>Etatsfin!E41</f>
        <v>717966.67356999998</v>
      </c>
      <c r="F104" s="724">
        <f>Etatsfin!F41</f>
        <v>907795.82200000004</v>
      </c>
      <c r="G104" s="725">
        <f>Etatsfin!G41</f>
        <v>1616204.6810000001</v>
      </c>
      <c r="H104" s="552">
        <f>IF(T27=0,0,(O22*(G104/T27)*(1+H103))+(P22*SUM(H107:H110)))</f>
        <v>1616204.6810000001</v>
      </c>
      <c r="I104" s="552">
        <f>(O22*H104*(1+I103))+(P22*SUM(I107:I110))</f>
        <v>1616204.6810000001</v>
      </c>
      <c r="J104" s="552">
        <f>(O22*I104*(1+J103))+(P22*SUM(J107:J110))</f>
        <v>1616204.6810000001</v>
      </c>
      <c r="K104" s="552">
        <f>(O22*J104*(1+K103))+(P22*SUM(K107:K110))</f>
        <v>1616204.6810000001</v>
      </c>
      <c r="L104" s="552">
        <f>(O22*K104*(1+L103))+(P22*SUM(L107:L110))</f>
        <v>1616204.6810000001</v>
      </c>
      <c r="M104" s="552">
        <f>(O22*L104*(1+M103))+(P22*SUM(M107:M110))</f>
        <v>1616204.6810000001</v>
      </c>
      <c r="N104" s="552">
        <f>(O22*M104*(1+N103))+(P22*SUM(N107:N110))</f>
        <v>1616204.6810000001</v>
      </c>
      <c r="O104" s="510" t="s">
        <v>459</v>
      </c>
    </row>
    <row r="105" spans="1:18" s="586" customFormat="1" ht="14" customHeight="1" x14ac:dyDescent="0.15">
      <c r="A105" s="593" t="s">
        <v>460</v>
      </c>
      <c r="B105" s="726">
        <f>IF(OR(Etatsfin!D6&lt;=0,Etatsfin!D6=""),365,Etatsfin!D6)</f>
        <v>3</v>
      </c>
      <c r="C105" s="727"/>
      <c r="D105" s="727"/>
      <c r="E105" s="728">
        <f>IF(OR(R27=0,Etatsfin!D41=0),"n/d ",((Etatsfin!E41/Etatsfin!D41)*(B105/R27))-1)</f>
        <v>4.1606827575239036</v>
      </c>
      <c r="F105" s="729">
        <f>IF(OR(S27=0,E104=0),"n/d ",((F104/E104)*(R27/S27))-1)</f>
        <v>0.17156903253155531</v>
      </c>
      <c r="G105" s="730">
        <f>IF(OR(T27=0,F104=0),"n/d ",((G104/F104)*(S27/T27))-1)</f>
        <v>0.92669252216949483</v>
      </c>
      <c r="H105" s="731">
        <f>IF(G104=0,"n/d ",((H104/G104)*T27)-1)</f>
        <v>0</v>
      </c>
      <c r="I105" s="731">
        <f t="shared" ref="I105:N105" si="34">IF(H104=0,"n/d ",(I104-H104)/H104)</f>
        <v>0</v>
      </c>
      <c r="J105" s="731">
        <f t="shared" si="34"/>
        <v>0</v>
      </c>
      <c r="K105" s="731">
        <f t="shared" si="34"/>
        <v>0</v>
      </c>
      <c r="L105" s="731">
        <f t="shared" si="34"/>
        <v>0</v>
      </c>
      <c r="M105" s="731">
        <f t="shared" si="34"/>
        <v>0</v>
      </c>
      <c r="N105" s="731">
        <f t="shared" si="34"/>
        <v>0</v>
      </c>
      <c r="O105" s="593" t="s">
        <v>460</v>
      </c>
      <c r="P105" s="727"/>
      <c r="Q105" s="593"/>
    </row>
    <row r="106" spans="1:18" s="586" customFormat="1" ht="28" hidden="1" customHeight="1" outlineLevel="1" x14ac:dyDescent="0.15">
      <c r="A106" s="732" t="s">
        <v>461</v>
      </c>
      <c r="B106" s="593"/>
      <c r="C106" s="727"/>
      <c r="D106" s="727"/>
      <c r="E106" s="733" t="str">
        <f>IF(O22=1,"",IF(AND((E104-SUM(E107:E110))&gt;=-0.1,(E104-SUM(E107:E110)&lt;=0.1)),"","Erreur de saisie !"))</f>
        <v/>
      </c>
      <c r="F106" s="734" t="str">
        <f>IF(O22=1,"",IF(AND((F104-SUM(F107:F110))&gt;=-0.1,(F104-SUM(F107:F110)&lt;=0.1)),"","Erreur de saisie !"))</f>
        <v/>
      </c>
      <c r="G106" s="735" t="str">
        <f>IF(O22=1,"",IF(AND((G104-SUM(G107:G110))&gt;=-0.1,(G104-SUM(G107:G110)&lt;=0.1)),"","Erreur de saisie !"))</f>
        <v/>
      </c>
      <c r="H106" s="731"/>
      <c r="I106" s="731"/>
      <c r="J106" s="731"/>
      <c r="K106" s="731"/>
      <c r="L106" s="731"/>
      <c r="M106" s="731"/>
      <c r="N106" s="731"/>
      <c r="O106" s="586" t="str">
        <f>A106</f>
        <v xml:space="preserve">   Décomposition de 100% du CA :</v>
      </c>
      <c r="P106" s="727"/>
      <c r="Q106" s="593"/>
    </row>
    <row r="107" spans="1:18" s="586" customFormat="1" ht="14" hidden="1" customHeight="1" outlineLevel="1" x14ac:dyDescent="0.15">
      <c r="A107" s="736" t="s">
        <v>462</v>
      </c>
      <c r="B107" s="737" t="str">
        <f>CONCATENATE("(en ",O21,")")</f>
        <v>(en KF)</v>
      </c>
      <c r="C107" s="738"/>
      <c r="D107" s="738"/>
      <c r="E107" s="739"/>
      <c r="F107" s="740"/>
      <c r="G107" s="741"/>
      <c r="H107" s="740"/>
      <c r="I107" s="740"/>
      <c r="J107" s="740"/>
      <c r="K107" s="740"/>
      <c r="L107" s="740"/>
      <c r="M107" s="740"/>
      <c r="N107" s="740"/>
      <c r="O107" s="593" t="str">
        <f>A107</f>
        <v xml:space="preserve">     - CA sur ... (tel pays, ou telle Division)</v>
      </c>
      <c r="P107" s="727"/>
      <c r="Q107" s="593"/>
    </row>
    <row r="108" spans="1:18" s="586" customFormat="1" ht="14" hidden="1" customHeight="1" outlineLevel="1" x14ac:dyDescent="0.15">
      <c r="A108" s="736" t="s">
        <v>462</v>
      </c>
      <c r="B108" s="737" t="str">
        <f>CONCATENATE("(en ",O21,")")</f>
        <v>(en KF)</v>
      </c>
      <c r="C108" s="738"/>
      <c r="D108" s="738"/>
      <c r="E108" s="739"/>
      <c r="F108" s="740"/>
      <c r="G108" s="741"/>
      <c r="H108" s="740"/>
      <c r="I108" s="740"/>
      <c r="J108" s="740"/>
      <c r="K108" s="740"/>
      <c r="L108" s="740"/>
      <c r="M108" s="740"/>
      <c r="N108" s="740"/>
      <c r="O108" s="593" t="str">
        <f>A108</f>
        <v xml:space="preserve">     - CA sur ... (tel pays, ou telle Division)</v>
      </c>
      <c r="P108" s="727"/>
      <c r="Q108" s="593"/>
    </row>
    <row r="109" spans="1:18" s="586" customFormat="1" ht="14" hidden="1" customHeight="1" outlineLevel="1" x14ac:dyDescent="0.15">
      <c r="A109" s="736" t="s">
        <v>462</v>
      </c>
      <c r="B109" s="737" t="str">
        <f>CONCATENATE("(en ",O21,")")</f>
        <v>(en KF)</v>
      </c>
      <c r="C109" s="738"/>
      <c r="D109" s="738"/>
      <c r="E109" s="739"/>
      <c r="F109" s="740"/>
      <c r="G109" s="741"/>
      <c r="H109" s="740"/>
      <c r="I109" s="740"/>
      <c r="J109" s="740"/>
      <c r="K109" s="740"/>
      <c r="L109" s="740"/>
      <c r="M109" s="740"/>
      <c r="N109" s="740"/>
      <c r="O109" s="593" t="str">
        <f>A109</f>
        <v xml:space="preserve">     - CA sur ... (tel pays, ou telle Division)</v>
      </c>
      <c r="P109" s="727"/>
      <c r="Q109" s="593"/>
    </row>
    <row r="110" spans="1:18" s="586" customFormat="1" ht="14" hidden="1" customHeight="1" outlineLevel="1" x14ac:dyDescent="0.15">
      <c r="A110" s="736" t="s">
        <v>462</v>
      </c>
      <c r="B110" s="737" t="str">
        <f>CONCATENATE("(en ",O21,")")</f>
        <v>(en KF)</v>
      </c>
      <c r="C110" s="738"/>
      <c r="D110" s="738"/>
      <c r="E110" s="739"/>
      <c r="F110" s="740"/>
      <c r="G110" s="741"/>
      <c r="H110" s="740"/>
      <c r="I110" s="740"/>
      <c r="J110" s="740"/>
      <c r="K110" s="740"/>
      <c r="L110" s="740"/>
      <c r="M110" s="740"/>
      <c r="N110" s="740"/>
      <c r="O110" s="593" t="str">
        <f>A110</f>
        <v xml:space="preserve">     - CA sur ... (tel pays, ou telle Division)</v>
      </c>
      <c r="P110" s="727"/>
      <c r="Q110" s="593"/>
    </row>
    <row r="111" spans="1:18" s="510" customFormat="1" ht="14" customHeight="1" collapsed="1" x14ac:dyDescent="0.15">
      <c r="E111" s="742"/>
      <c r="F111" s="422"/>
      <c r="G111" s="423"/>
      <c r="H111" s="607"/>
      <c r="I111" s="607"/>
      <c r="J111" s="607"/>
      <c r="K111" s="607"/>
      <c r="L111" s="607"/>
      <c r="M111" s="607"/>
      <c r="N111" s="607"/>
    </row>
    <row r="112" spans="1:18" s="510" customFormat="1" ht="14" customHeight="1" x14ac:dyDescent="0.15">
      <c r="A112" s="255" t="s">
        <v>463</v>
      </c>
      <c r="E112" s="623">
        <f>Etatsfin!E43+Etatsfin!E49-Saisie!F123</f>
        <v>0</v>
      </c>
      <c r="F112" s="624">
        <f>Etatsfin!F43+Etatsfin!F49-Etatsfin!L43</f>
        <v>-6140.1903333333321</v>
      </c>
      <c r="G112" s="625">
        <f>Etatsfin!G43+Etatsfin!G49-Etatsfin!M43</f>
        <v>-52900.385000000002</v>
      </c>
      <c r="H112" s="606">
        <f t="shared" ref="H112:N112" si="35">H44-G44</f>
        <v>-444621.93699999998</v>
      </c>
      <c r="I112" s="606">
        <f t="shared" si="35"/>
        <v>0</v>
      </c>
      <c r="J112" s="606">
        <f t="shared" si="35"/>
        <v>0</v>
      </c>
      <c r="K112" s="606">
        <f t="shared" si="35"/>
        <v>0</v>
      </c>
      <c r="L112" s="606">
        <f t="shared" si="35"/>
        <v>0</v>
      </c>
      <c r="M112" s="606">
        <f t="shared" si="35"/>
        <v>0</v>
      </c>
      <c r="N112" s="606">
        <f t="shared" si="35"/>
        <v>0</v>
      </c>
      <c r="O112" s="255" t="s">
        <v>463</v>
      </c>
    </row>
    <row r="113" spans="1:18" s="510" customFormat="1" ht="14" customHeight="1" x14ac:dyDescent="0.15">
      <c r="A113" s="255" t="s">
        <v>840</v>
      </c>
      <c r="E113" s="608">
        <f>Saisie!F123</f>
        <v>0</v>
      </c>
      <c r="F113" s="609">
        <f>Etatsfin!L43</f>
        <v>23322.944333333333</v>
      </c>
      <c r="G113" s="610">
        <f>Etatsfin!M43</f>
        <v>53131.535000000003</v>
      </c>
      <c r="H113" s="649">
        <v>0</v>
      </c>
      <c r="I113" s="649">
        <v>0</v>
      </c>
      <c r="J113" s="649">
        <v>0</v>
      </c>
      <c r="K113" s="649">
        <v>0</v>
      </c>
      <c r="L113" s="649">
        <v>0</v>
      </c>
      <c r="M113" s="649">
        <v>0</v>
      </c>
      <c r="N113" s="649">
        <v>0</v>
      </c>
      <c r="O113" s="255" t="s">
        <v>840</v>
      </c>
    </row>
    <row r="114" spans="1:18" s="510" customFormat="1" ht="14" customHeight="1" x14ac:dyDescent="0.15">
      <c r="A114" s="255" t="s">
        <v>167</v>
      </c>
      <c r="E114" s="608">
        <f>Etatsfin!E44</f>
        <v>0</v>
      </c>
      <c r="F114" s="609">
        <f>Etatsfin!F44</f>
        <v>2281.665</v>
      </c>
      <c r="G114" s="610">
        <f>Etatsfin!G44</f>
        <v>621.11800000000005</v>
      </c>
      <c r="H114" s="649">
        <v>0</v>
      </c>
      <c r="I114" s="649">
        <v>0</v>
      </c>
      <c r="J114" s="649">
        <v>0</v>
      </c>
      <c r="K114" s="649">
        <v>0</v>
      </c>
      <c r="L114" s="649">
        <v>0</v>
      </c>
      <c r="M114" s="649">
        <v>0</v>
      </c>
      <c r="N114" s="649">
        <v>0</v>
      </c>
      <c r="O114" s="255" t="s">
        <v>167</v>
      </c>
    </row>
    <row r="115" spans="1:18" s="510" customFormat="1" ht="14" customHeight="1" x14ac:dyDescent="0.15">
      <c r="A115" s="255" t="s">
        <v>171</v>
      </c>
      <c r="E115" s="608">
        <f>Etatsfin!E48</f>
        <v>639351.22713000001</v>
      </c>
      <c r="F115" s="609">
        <f>Etatsfin!F48</f>
        <v>765768.85899999994</v>
      </c>
      <c r="G115" s="610">
        <f>Etatsfin!G48</f>
        <v>1379090.4569999999</v>
      </c>
      <c r="H115" s="559">
        <f>-(H118-H104-H112-H113-H114)</f>
        <v>1171582.7440000002</v>
      </c>
      <c r="I115" s="559">
        <f t="shared" ref="I115:N115" si="36">-(I118-I104-I112-I113-I114)</f>
        <v>1616204.6810000001</v>
      </c>
      <c r="J115" s="559">
        <f t="shared" si="36"/>
        <v>1616204.6810000001</v>
      </c>
      <c r="K115" s="559">
        <f t="shared" si="36"/>
        <v>1616204.6810000001</v>
      </c>
      <c r="L115" s="559">
        <f t="shared" si="36"/>
        <v>1616204.6810000001</v>
      </c>
      <c r="M115" s="559">
        <f t="shared" si="36"/>
        <v>1616204.6810000001</v>
      </c>
      <c r="N115" s="559">
        <f t="shared" si="36"/>
        <v>1616204.6810000001</v>
      </c>
      <c r="O115" s="255" t="s">
        <v>171</v>
      </c>
    </row>
    <row r="116" spans="1:18" s="510" customFormat="1" ht="14" customHeight="1" x14ac:dyDescent="0.15">
      <c r="E116" s="742"/>
      <c r="F116" s="422"/>
      <c r="G116" s="423"/>
      <c r="H116" s="607"/>
      <c r="I116" s="607"/>
      <c r="J116" s="607"/>
      <c r="K116" s="607"/>
      <c r="L116" s="607"/>
      <c r="M116" s="607"/>
      <c r="N116" s="607"/>
    </row>
    <row r="117" spans="1:18" s="510" customFormat="1" ht="14" hidden="1" customHeight="1" x14ac:dyDescent="0.15">
      <c r="E117" s="742"/>
      <c r="F117" s="422"/>
      <c r="G117" s="423"/>
      <c r="H117" s="720">
        <f>IF(Hypo!H35="",0,Hypo!H35)</f>
        <v>0</v>
      </c>
      <c r="I117" s="721">
        <f>IF(Hypo!I35="",0,Hypo!I35)</f>
        <v>0</v>
      </c>
      <c r="J117" s="721">
        <f>IF(Hypo!J35="",0,Hypo!J35)</f>
        <v>0</v>
      </c>
      <c r="K117" s="721">
        <f>IF(Hypo!K35="",0,Hypo!K35)</f>
        <v>0</v>
      </c>
      <c r="L117" s="721">
        <f>IF(Hypo!L35="",0,Hypo!L35)</f>
        <v>0</v>
      </c>
      <c r="M117" s="721">
        <f>IF(Hypo!M35="",0,Hypo!M35)</f>
        <v>0</v>
      </c>
      <c r="N117" s="722">
        <f>IF(Hypo!N35="",0,Hypo!N35)</f>
        <v>0</v>
      </c>
    </row>
    <row r="118" spans="1:18" ht="14" customHeight="1" x14ac:dyDescent="0.15">
      <c r="A118" s="510" t="s">
        <v>848</v>
      </c>
      <c r="C118" s="560"/>
      <c r="D118" s="560"/>
      <c r="E118" s="742">
        <f>E104+E112+E113+E114-E115</f>
        <v>78615.446439999971</v>
      </c>
      <c r="F118" s="422">
        <f>F104+F112+F113+F114-F115</f>
        <v>161491.3820000001</v>
      </c>
      <c r="G118" s="423">
        <f>G104+G112+G113+G114-G115</f>
        <v>237966.49200000009</v>
      </c>
      <c r="H118" s="607">
        <f>(O22*H104*H117)+(P22*SUM(H121:H124))</f>
        <v>0</v>
      </c>
      <c r="I118" s="607">
        <f>(O22*I104*I117)+(P22*SUM(I121:I124))</f>
        <v>0</v>
      </c>
      <c r="J118" s="607">
        <f>(O22*J104*J117)+(P22*SUM(J121:J124))</f>
        <v>0</v>
      </c>
      <c r="K118" s="607">
        <f>(O22*K104*K117)+(P22*SUM(K121:K124))</f>
        <v>0</v>
      </c>
      <c r="L118" s="607">
        <f>(O22*L104*L117)+(P22*SUM(L121:L124))</f>
        <v>0</v>
      </c>
      <c r="M118" s="607">
        <f>(O22*M104*M117)+(P22*SUM(M121:M124))</f>
        <v>0</v>
      </c>
      <c r="N118" s="607">
        <f>(O22*N104*N117)+(P22*SUM(N121:N124))</f>
        <v>0</v>
      </c>
      <c r="O118" s="632" t="s">
        <v>848</v>
      </c>
    </row>
    <row r="119" spans="1:18" ht="14" customHeight="1" x14ac:dyDescent="0.15">
      <c r="A119" s="593" t="s">
        <v>464</v>
      </c>
      <c r="C119" s="560"/>
      <c r="D119" s="560"/>
      <c r="E119" s="743">
        <f>IF(E104=0,"n/d ",E118/E104)</f>
        <v>0.10949734762631035</v>
      </c>
      <c r="F119" s="744">
        <f>IF(F104=0,"n/d ",F118/F104)</f>
        <v>0.17789394716998388</v>
      </c>
      <c r="G119" s="745">
        <f>IF(G104=0,"n/d ",G118/G104)</f>
        <v>0.14723784357112629</v>
      </c>
      <c r="H119" s="731">
        <f>IF(H104=0,"n/d ",H118/H104)</f>
        <v>0</v>
      </c>
      <c r="I119" s="731">
        <f t="shared" ref="I119:N119" si="37">IF(I104=0,"n/d ",I118/I104)</f>
        <v>0</v>
      </c>
      <c r="J119" s="731">
        <f t="shared" si="37"/>
        <v>0</v>
      </c>
      <c r="K119" s="731">
        <f t="shared" si="37"/>
        <v>0</v>
      </c>
      <c r="L119" s="731">
        <f t="shared" si="37"/>
        <v>0</v>
      </c>
      <c r="M119" s="731">
        <f t="shared" si="37"/>
        <v>0</v>
      </c>
      <c r="N119" s="731">
        <f t="shared" si="37"/>
        <v>0</v>
      </c>
      <c r="O119" s="593" t="s">
        <v>465</v>
      </c>
    </row>
    <row r="120" spans="1:18" s="586" customFormat="1" ht="28" hidden="1" customHeight="1" outlineLevel="1" x14ac:dyDescent="0.15">
      <c r="A120" s="732" t="s">
        <v>466</v>
      </c>
      <c r="B120" s="593"/>
      <c r="C120" s="727"/>
      <c r="D120" s="727"/>
      <c r="E120" s="733" t="str">
        <f>IF(O22=1,"",IF(AND((E118-SUM(E121:E124))&gt;=-0.1,(E118-SUM(E121:E124)&lt;=0.1)),"","Erreur de saisie !"))</f>
        <v/>
      </c>
      <c r="F120" s="734" t="str">
        <f>IF(O22=1,"",IF(AND((F118-SUM(F121:F124))&gt;=-0.1,(F118-SUM(F121:F124)&lt;=0.1)),"","Erreur de saisie!"))</f>
        <v/>
      </c>
      <c r="G120" s="735" t="str">
        <f>IF(O22=1,"",IF(AND((G118-SUM(G121:G124))&gt;=-0.1,(G118-SUM(G121:G124)&lt;=0.1)),"","Erreur de saisie !"))</f>
        <v/>
      </c>
      <c r="H120" s="746"/>
      <c r="I120" s="731"/>
      <c r="J120" s="731"/>
      <c r="K120" s="731"/>
      <c r="L120" s="731"/>
      <c r="M120" s="731"/>
      <c r="N120" s="731"/>
      <c r="O120" s="586" t="str">
        <f>A120</f>
        <v xml:space="preserve">   Décomposit° de 100% de la Marge Commerc. :</v>
      </c>
      <c r="P120" s="727"/>
      <c r="Q120" s="593"/>
    </row>
    <row r="121" spans="1:18" s="586" customFormat="1" ht="14" hidden="1" customHeight="1" outlineLevel="1" x14ac:dyDescent="0.15">
      <c r="A121" s="736" t="s">
        <v>467</v>
      </c>
      <c r="B121" s="737" t="str">
        <f>CONCATENATE("(en ",O21,")")</f>
        <v>(en KF)</v>
      </c>
      <c r="C121" s="738"/>
      <c r="D121" s="738"/>
      <c r="E121" s="747"/>
      <c r="F121" s="748"/>
      <c r="G121" s="749"/>
      <c r="H121" s="748"/>
      <c r="I121" s="748"/>
      <c r="J121" s="748"/>
      <c r="K121" s="748"/>
      <c r="L121" s="748"/>
      <c r="M121" s="748"/>
      <c r="N121" s="748"/>
      <c r="O121" s="593" t="str">
        <f>A121</f>
        <v xml:space="preserve">     - Marge sur ... (tel pays, ou telle Division)</v>
      </c>
      <c r="P121" s="727"/>
      <c r="Q121" s="593"/>
    </row>
    <row r="122" spans="1:18" s="586" customFormat="1" ht="14" hidden="1" customHeight="1" outlineLevel="1" x14ac:dyDescent="0.15">
      <c r="A122" s="736" t="s">
        <v>467</v>
      </c>
      <c r="B122" s="737" t="str">
        <f>CONCATENATE("(en ",O21,")")</f>
        <v>(en KF)</v>
      </c>
      <c r="C122" s="738"/>
      <c r="D122" s="738"/>
      <c r="E122" s="747"/>
      <c r="F122" s="748"/>
      <c r="G122" s="749"/>
      <c r="H122" s="748"/>
      <c r="I122" s="748"/>
      <c r="J122" s="748"/>
      <c r="K122" s="748"/>
      <c r="L122" s="748"/>
      <c r="M122" s="748"/>
      <c r="N122" s="748"/>
      <c r="O122" s="593" t="str">
        <f>A122</f>
        <v xml:space="preserve">     - Marge sur ... (tel pays, ou telle Division)</v>
      </c>
      <c r="P122" s="727"/>
      <c r="Q122" s="593"/>
    </row>
    <row r="123" spans="1:18" s="586" customFormat="1" ht="14" hidden="1" customHeight="1" outlineLevel="1" x14ac:dyDescent="0.15">
      <c r="A123" s="736" t="s">
        <v>467</v>
      </c>
      <c r="B123" s="737" t="str">
        <f>CONCATENATE("(en ",O21,")")</f>
        <v>(en KF)</v>
      </c>
      <c r="C123" s="738"/>
      <c r="D123" s="738"/>
      <c r="E123" s="747"/>
      <c r="F123" s="748"/>
      <c r="G123" s="749"/>
      <c r="H123" s="748"/>
      <c r="I123" s="748"/>
      <c r="J123" s="748"/>
      <c r="K123" s="748"/>
      <c r="L123" s="748"/>
      <c r="M123" s="748"/>
      <c r="N123" s="748"/>
      <c r="O123" s="593" t="str">
        <f>A123</f>
        <v xml:space="preserve">     - Marge sur ... (tel pays, ou telle Division)</v>
      </c>
      <c r="P123" s="727"/>
      <c r="Q123" s="593"/>
    </row>
    <row r="124" spans="1:18" s="586" customFormat="1" ht="14" hidden="1" customHeight="1" outlineLevel="1" x14ac:dyDescent="0.15">
      <c r="A124" s="736" t="s">
        <v>467</v>
      </c>
      <c r="B124" s="737" t="str">
        <f>CONCATENATE("(en ",O21,")")</f>
        <v>(en KF)</v>
      </c>
      <c r="C124" s="738"/>
      <c r="D124" s="738"/>
      <c r="E124" s="747"/>
      <c r="F124" s="748"/>
      <c r="G124" s="749"/>
      <c r="H124" s="748"/>
      <c r="I124" s="748"/>
      <c r="J124" s="748"/>
      <c r="K124" s="748"/>
      <c r="L124" s="748"/>
      <c r="M124" s="748"/>
      <c r="N124" s="748"/>
      <c r="O124" s="593" t="str">
        <f>A124</f>
        <v xml:space="preserve">     - Marge sur ... (tel pays, ou telle Division)</v>
      </c>
      <c r="P124" s="727"/>
      <c r="Q124" s="593"/>
    </row>
    <row r="125" spans="1:18" ht="14" customHeight="1" collapsed="1" x14ac:dyDescent="0.15">
      <c r="E125" s="627"/>
      <c r="F125" s="628"/>
      <c r="G125" s="629"/>
      <c r="H125" s="606"/>
      <c r="I125" s="606"/>
      <c r="J125" s="606"/>
      <c r="K125" s="606"/>
      <c r="L125" s="606"/>
      <c r="M125" s="606"/>
      <c r="N125" s="606"/>
    </row>
    <row r="126" spans="1:18" s="510" customFormat="1" ht="14" customHeight="1" x14ac:dyDescent="0.15">
      <c r="A126" s="255" t="s">
        <v>468</v>
      </c>
      <c r="B126" s="255"/>
      <c r="C126" s="255"/>
      <c r="D126" s="255"/>
      <c r="E126" s="608">
        <f>Etatsfin!E53+Etatsfin!E54</f>
        <v>33502.17179</v>
      </c>
      <c r="F126" s="609">
        <f>Etatsfin!F53+Etatsfin!F54</f>
        <v>76106.637000000002</v>
      </c>
      <c r="G126" s="610">
        <f>Etatsfin!G53+Etatsfin!G54</f>
        <v>123922.539</v>
      </c>
      <c r="H126" s="559">
        <f>(O22*(H118-H135))+(P22*SUM(H129:H132))</f>
        <v>0</v>
      </c>
      <c r="I126" s="559">
        <f>(O22*(I118-I135))+(P22*SUM(I129:I132))</f>
        <v>0</v>
      </c>
      <c r="J126" s="559">
        <f>(O22*(J118-J135))+(P22*SUM(J129:J132))</f>
        <v>0</v>
      </c>
      <c r="K126" s="559">
        <f>(O22*(K118-K135))+(P22*SUM(K129:K132))</f>
        <v>0</v>
      </c>
      <c r="L126" s="559">
        <f>(O22*(L118-L135))+(P22*SUM(L129:L132))</f>
        <v>0</v>
      </c>
      <c r="M126" s="559">
        <f>(O22*(M118-M135))+(P22*SUM(M129:M132))</f>
        <v>0</v>
      </c>
      <c r="N126" s="559">
        <f>(O22*(N118-N135))+(P22*SUM(N129:N132))</f>
        <v>0</v>
      </c>
      <c r="O126" s="255" t="s">
        <v>468</v>
      </c>
    </row>
    <row r="127" spans="1:18" s="510" customFormat="1" ht="14" customHeight="1" x14ac:dyDescent="0.15">
      <c r="A127" s="750"/>
      <c r="B127" s="255"/>
      <c r="C127" s="255"/>
      <c r="D127" s="255"/>
      <c r="E127" s="751" t="str">
        <f>IF(AND(E118=0,E126=0,E135=0),"",IF(AND((E118-E126-E135)&gt;=-0.1,(E118-E126-E135)&lt;=0.1),"","Erreur !"))</f>
        <v/>
      </c>
      <c r="F127" s="752" t="str">
        <f>IF(AND(F118=0,F126=0,F135=0),"",IF(AND((F118-F126-F135)&gt;=-0.1,(F118-F126-F135)&lt;=0.1),"","Erreur !"))</f>
        <v/>
      </c>
      <c r="G127" s="753" t="str">
        <f>IF(AND(G118=0,G126=0,G135=0),"",IF(AND((G118-G126-G135)&gt;=-0.1,(G118-G126-G135)&lt;=0.1),"","Erreur !"))</f>
        <v/>
      </c>
      <c r="H127" s="754" t="str">
        <f>IF(AND(H118=0,H126=0,H135=0),"",IF(AND((H118-H126-H135)&gt;=-0.1,(H118-H126-H135)&lt;=0.1),"","Erreur !"))</f>
        <v/>
      </c>
      <c r="I127" s="754" t="str">
        <f t="shared" ref="I127:N127" si="38">IF(AND(I118=0,I126=0,I135=0),"",IF(AND((I118-I126-I135)&gt;=-0.1,(I118-I126-I135)&lt;=0.1),"","Erreur !"))</f>
        <v/>
      </c>
      <c r="J127" s="754" t="str">
        <f t="shared" si="38"/>
        <v/>
      </c>
      <c r="K127" s="754" t="str">
        <f t="shared" si="38"/>
        <v/>
      </c>
      <c r="L127" s="754" t="str">
        <f t="shared" si="38"/>
        <v/>
      </c>
      <c r="M127" s="754" t="str">
        <f t="shared" si="38"/>
        <v/>
      </c>
      <c r="N127" s="754" t="str">
        <f t="shared" si="38"/>
        <v/>
      </c>
      <c r="O127" s="255"/>
    </row>
    <row r="128" spans="1:18" s="510" customFormat="1" ht="28" hidden="1" customHeight="1" outlineLevel="1" x14ac:dyDescent="0.15">
      <c r="A128" s="755" t="s">
        <v>469</v>
      </c>
      <c r="B128" s="290"/>
      <c r="C128" s="279"/>
      <c r="D128" s="279"/>
      <c r="E128" s="756" t="str">
        <f>IF(O22=1,"",IF(AND((E126-SUM(E129:E132))&gt;=-0.1,(E126-SUM(E129:E132)&lt;=0.1)),"","Erreur de saisie !"))</f>
        <v/>
      </c>
      <c r="F128" s="757" t="str">
        <f>IF(O22=1,"",IF(AND((F126-SUM(F129:F132))&gt;=-0.1,(F126-SUM(F129:F132)&lt;=0.1)),"","Erreur de saisie !"))</f>
        <v/>
      </c>
      <c r="G128" s="758" t="str">
        <f>IF(O22=1,"",IF(AND((G126-SUM(G129:G132))&gt;=-0.1,(G126-SUM(G129:G132)&lt;=0.1)),"","Erreur  de saisie!"))</f>
        <v/>
      </c>
      <c r="H128" s="606"/>
      <c r="I128" s="606"/>
      <c r="J128" s="606"/>
      <c r="K128" s="606"/>
      <c r="L128" s="606"/>
      <c r="M128" s="606"/>
      <c r="N128" s="606"/>
      <c r="O128" s="759" t="str">
        <f>A128</f>
        <v xml:space="preserve">   Décomposition de 100% du total Charges de personnel et Autres charges :</v>
      </c>
      <c r="P128" s="760"/>
      <c r="Q128" s="760"/>
      <c r="R128" s="760"/>
    </row>
    <row r="129" spans="1:18" s="510" customFormat="1" ht="14" hidden="1" customHeight="1" outlineLevel="1" x14ac:dyDescent="0.15">
      <c r="A129" s="736" t="s">
        <v>470</v>
      </c>
      <c r="B129" s="737" t="str">
        <f>CONCATENATE("(en ",O21,")")</f>
        <v>(en KF)</v>
      </c>
      <c r="C129" s="738"/>
      <c r="D129" s="738"/>
      <c r="E129" s="761">
        <f>Etatsfin!E53</f>
        <v>12668.579540000001</v>
      </c>
      <c r="F129" s="762">
        <f>Etatsfin!F53</f>
        <v>32841.582000000002</v>
      </c>
      <c r="G129" s="763">
        <f>Etatsfin!G53</f>
        <v>54011.955000000002</v>
      </c>
      <c r="H129" s="740"/>
      <c r="I129" s="740"/>
      <c r="J129" s="740"/>
      <c r="K129" s="740"/>
      <c r="L129" s="740"/>
      <c r="M129" s="740"/>
      <c r="N129" s="740"/>
      <c r="O129" s="593" t="str">
        <f>A129</f>
        <v xml:space="preserve">     - Charges de personnel (telle catégorie...)</v>
      </c>
      <c r="P129" s="593"/>
      <c r="Q129" s="593"/>
      <c r="R129" s="255"/>
    </row>
    <row r="130" spans="1:18" s="510" customFormat="1" ht="14" hidden="1" customHeight="1" outlineLevel="1" x14ac:dyDescent="0.15">
      <c r="A130" s="736" t="s">
        <v>470</v>
      </c>
      <c r="B130" s="737" t="str">
        <f>CONCATENATE("(en ",O21,")")</f>
        <v>(en KF)</v>
      </c>
      <c r="C130" s="738"/>
      <c r="D130" s="738"/>
      <c r="E130" s="739"/>
      <c r="F130" s="740"/>
      <c r="G130" s="741"/>
      <c r="H130" s="740"/>
      <c r="I130" s="740"/>
      <c r="J130" s="740"/>
      <c r="K130" s="740"/>
      <c r="L130" s="740"/>
      <c r="M130" s="740"/>
      <c r="N130" s="740"/>
      <c r="O130" s="593" t="str">
        <f>A130</f>
        <v xml:space="preserve">     - Charges de personnel (telle catégorie...)</v>
      </c>
      <c r="P130" s="593"/>
      <c r="Q130" s="593"/>
      <c r="R130" s="255"/>
    </row>
    <row r="131" spans="1:18" s="510" customFormat="1" ht="14" hidden="1" customHeight="1" outlineLevel="1" x14ac:dyDescent="0.15">
      <c r="A131" s="736" t="s">
        <v>471</v>
      </c>
      <c r="B131" s="737" t="str">
        <f>CONCATENATE("(en ",O21,")")</f>
        <v>(en KF)</v>
      </c>
      <c r="C131" s="738"/>
      <c r="D131" s="738"/>
      <c r="E131" s="761">
        <f>Etatsfin!E54</f>
        <v>20833.592250000002</v>
      </c>
      <c r="F131" s="762">
        <f>Etatsfin!F54</f>
        <v>43265.055</v>
      </c>
      <c r="G131" s="763">
        <f>Etatsfin!G54</f>
        <v>69910.584000000003</v>
      </c>
      <c r="H131" s="740"/>
      <c r="I131" s="740"/>
      <c r="J131" s="740"/>
      <c r="K131" s="740"/>
      <c r="L131" s="740"/>
      <c r="M131" s="740"/>
      <c r="N131" s="740"/>
      <c r="O131" s="593" t="str">
        <f>A131</f>
        <v xml:space="preserve">     - Autres charges (telle catégorie...)</v>
      </c>
      <c r="P131" s="593"/>
      <c r="Q131" s="593"/>
      <c r="R131" s="255"/>
    </row>
    <row r="132" spans="1:18" s="510" customFormat="1" ht="14" hidden="1" customHeight="1" outlineLevel="1" x14ac:dyDescent="0.15">
      <c r="A132" s="736" t="s">
        <v>471</v>
      </c>
      <c r="B132" s="737" t="str">
        <f>CONCATENATE("(en ",O21,")")</f>
        <v>(en KF)</v>
      </c>
      <c r="C132" s="738"/>
      <c r="D132" s="738"/>
      <c r="E132" s="739"/>
      <c r="F132" s="740"/>
      <c r="G132" s="741"/>
      <c r="H132" s="740"/>
      <c r="I132" s="740"/>
      <c r="J132" s="740"/>
      <c r="K132" s="740"/>
      <c r="L132" s="740"/>
      <c r="M132" s="740"/>
      <c r="N132" s="740"/>
      <c r="O132" s="593" t="str">
        <f>A132</f>
        <v xml:space="preserve">     - Autres charges (telle catégorie...)</v>
      </c>
      <c r="P132" s="593"/>
      <c r="Q132" s="593"/>
      <c r="R132" s="255"/>
    </row>
    <row r="133" spans="1:18" s="510" customFormat="1" ht="13.5" customHeight="1" collapsed="1" x14ac:dyDescent="0.15">
      <c r="A133" s="676"/>
      <c r="B133" s="676"/>
      <c r="C133" s="676"/>
      <c r="D133" s="676"/>
      <c r="E133" s="764"/>
      <c r="F133" s="765"/>
      <c r="G133" s="766"/>
      <c r="H133" s="767"/>
      <c r="I133" s="767"/>
      <c r="J133" s="767"/>
      <c r="K133" s="767"/>
      <c r="L133" s="767"/>
      <c r="M133" s="767"/>
      <c r="N133" s="767"/>
      <c r="O133" s="676"/>
      <c r="P133" s="676"/>
      <c r="Q133" s="676"/>
      <c r="R133" s="255"/>
    </row>
    <row r="134" spans="1:18" s="510" customFormat="1" ht="17.25" hidden="1" customHeight="1" x14ac:dyDescent="0.15">
      <c r="E134" s="742"/>
      <c r="F134" s="422"/>
      <c r="G134" s="423"/>
      <c r="H134" s="720">
        <f>IF(Hypo!H36="",0,Hypo!H36)</f>
        <v>0</v>
      </c>
      <c r="I134" s="721">
        <f>IF(Hypo!I36="",0,Hypo!I36)</f>
        <v>0</v>
      </c>
      <c r="J134" s="721">
        <f>IF(Hypo!J36="",0,Hypo!J36)</f>
        <v>0</v>
      </c>
      <c r="K134" s="721">
        <f>IF(Hypo!K36="",0,Hypo!K36)</f>
        <v>0</v>
      </c>
      <c r="L134" s="721">
        <f>IF(Hypo!L36="",0,Hypo!L36)</f>
        <v>0</v>
      </c>
      <c r="M134" s="721">
        <f>IF(Hypo!M36="",0,Hypo!M36)</f>
        <v>0</v>
      </c>
      <c r="N134" s="722">
        <f>IF(Hypo!N36="",0,Hypo!N36)</f>
        <v>0</v>
      </c>
    </row>
    <row r="135" spans="1:18" ht="14" customHeight="1" x14ac:dyDescent="0.15">
      <c r="A135" s="510" t="s">
        <v>0</v>
      </c>
      <c r="B135" s="510"/>
      <c r="C135" s="510"/>
      <c r="D135" s="510"/>
      <c r="E135" s="742">
        <f>E118-E126</f>
        <v>45113.27464999997</v>
      </c>
      <c r="F135" s="422">
        <f>F118-F126</f>
        <v>85384.745000000097</v>
      </c>
      <c r="G135" s="423">
        <f>G118-G126</f>
        <v>114043.95300000008</v>
      </c>
      <c r="H135" s="607">
        <f>(O22*H104*H134)+(P22*SUM(H138:H141))</f>
        <v>0</v>
      </c>
      <c r="I135" s="607">
        <f>(O22*I104*I134)+(P22*SUM(I138:I141))</f>
        <v>0</v>
      </c>
      <c r="J135" s="607">
        <f>(O22*J104*J134)+(P22*SUM(J138:J141))</f>
        <v>0</v>
      </c>
      <c r="K135" s="607">
        <f>(O22*K104*K134)+(P22*SUM(K138:K141))</f>
        <v>0</v>
      </c>
      <c r="L135" s="607">
        <f>(O22*L104*L134)+(P22*SUM(L138:L141))</f>
        <v>0</v>
      </c>
      <c r="M135" s="607">
        <f>(O22*M104*M134)+(P22*SUM(M138:M141))</f>
        <v>0</v>
      </c>
      <c r="N135" s="607">
        <f>(O22*N104*N134)+(P22*SUM(N138:N141))</f>
        <v>0</v>
      </c>
      <c r="O135" s="510" t="s">
        <v>0</v>
      </c>
    </row>
    <row r="136" spans="1:18" ht="14" customHeight="1" x14ac:dyDescent="0.15">
      <c r="A136" s="593" t="s">
        <v>464</v>
      </c>
      <c r="E136" s="743">
        <f>IF(E104=0,"n/d ",E135/E104)</f>
        <v>6.2834775360365719E-2</v>
      </c>
      <c r="F136" s="744">
        <f>IF(F104=0,"n/d ",F135/F104)</f>
        <v>9.4057213010614732E-2</v>
      </c>
      <c r="G136" s="745">
        <f>IF(G104=0,"n/d ",G135/G104)</f>
        <v>7.056281567594351E-2</v>
      </c>
      <c r="H136" s="731">
        <f>IF(H104=0,"n/d ",H135/H104)</f>
        <v>0</v>
      </c>
      <c r="I136" s="731">
        <f t="shared" ref="I136:N136" si="39">IF(I104=0,"n/d ",I135/I104)</f>
        <v>0</v>
      </c>
      <c r="J136" s="731">
        <f t="shared" si="39"/>
        <v>0</v>
      </c>
      <c r="K136" s="731">
        <f t="shared" si="39"/>
        <v>0</v>
      </c>
      <c r="L136" s="731">
        <f t="shared" si="39"/>
        <v>0</v>
      </c>
      <c r="M136" s="731">
        <f t="shared" si="39"/>
        <v>0</v>
      </c>
      <c r="N136" s="731">
        <f t="shared" si="39"/>
        <v>0</v>
      </c>
      <c r="O136" s="593" t="s">
        <v>465</v>
      </c>
    </row>
    <row r="137" spans="1:18" ht="28" hidden="1" customHeight="1" outlineLevel="1" x14ac:dyDescent="0.15">
      <c r="A137" s="732" t="s">
        <v>472</v>
      </c>
      <c r="E137" s="733" t="str">
        <f>IF(O22=1,"",IF(AND((E135-SUM(E138:E141))&gt;=-0.1,(E135-SUM(E138:E141)&lt;=0.1)),"","Erreur de saisie !"))</f>
        <v/>
      </c>
      <c r="F137" s="734" t="str">
        <f>IF(O22=1,"",IF(AND((F135-SUM(F138:F141))&gt;=-0.1,(F135-SUM(F138:F141)&lt;=0.1)),"","Erreur de saisie !"))</f>
        <v/>
      </c>
      <c r="G137" s="735" t="str">
        <f>IF(O22=1,"",IF(AND((G135-SUM(G138:G141))&gt;=-0.1,(G135-SUM(G138:G141)&lt;=0.1)),"","Erreur de saisie !"))</f>
        <v/>
      </c>
      <c r="H137" s="731"/>
      <c r="I137" s="731"/>
      <c r="J137" s="731"/>
      <c r="K137" s="731"/>
      <c r="L137" s="731"/>
      <c r="M137" s="731"/>
      <c r="N137" s="731"/>
      <c r="O137" s="586" t="str">
        <f>A137</f>
        <v xml:space="preserve">   Décomposition de 100% de l'EBE :</v>
      </c>
    </row>
    <row r="138" spans="1:18" s="586" customFormat="1" ht="14" hidden="1" customHeight="1" outlineLevel="1" x14ac:dyDescent="0.15">
      <c r="A138" s="736" t="s">
        <v>473</v>
      </c>
      <c r="B138" s="737" t="str">
        <f>CONCATENATE("(en ",O21,")")</f>
        <v>(en KF)</v>
      </c>
      <c r="C138" s="738"/>
      <c r="D138" s="738"/>
      <c r="E138" s="747"/>
      <c r="F138" s="748"/>
      <c r="G138" s="749"/>
      <c r="H138" s="748"/>
      <c r="I138" s="748"/>
      <c r="J138" s="748"/>
      <c r="K138" s="748"/>
      <c r="L138" s="748"/>
      <c r="M138" s="748"/>
      <c r="N138" s="748"/>
      <c r="O138" s="593" t="str">
        <f>A138</f>
        <v xml:space="preserve">     - EBE sur ... (tel pays, ou telle Division)</v>
      </c>
      <c r="P138" s="727"/>
      <c r="Q138" s="593"/>
    </row>
    <row r="139" spans="1:18" s="586" customFormat="1" ht="14" hidden="1" customHeight="1" outlineLevel="1" x14ac:dyDescent="0.15">
      <c r="A139" s="736" t="s">
        <v>473</v>
      </c>
      <c r="B139" s="737" t="str">
        <f>CONCATENATE("(en ",O21,")")</f>
        <v>(en KF)</v>
      </c>
      <c r="C139" s="738"/>
      <c r="D139" s="738"/>
      <c r="E139" s="747"/>
      <c r="F139" s="748"/>
      <c r="G139" s="749"/>
      <c r="H139" s="748"/>
      <c r="I139" s="748"/>
      <c r="J139" s="748"/>
      <c r="K139" s="748"/>
      <c r="L139" s="748"/>
      <c r="M139" s="748"/>
      <c r="N139" s="748"/>
      <c r="O139" s="593" t="str">
        <f>A139</f>
        <v xml:space="preserve">     - EBE sur ... (tel pays, ou telle Division)</v>
      </c>
      <c r="P139" s="727"/>
      <c r="Q139" s="593"/>
    </row>
    <row r="140" spans="1:18" s="586" customFormat="1" ht="14" hidden="1" customHeight="1" outlineLevel="1" x14ac:dyDescent="0.15">
      <c r="A140" s="736" t="s">
        <v>473</v>
      </c>
      <c r="B140" s="737" t="str">
        <f>CONCATENATE("(en ",O21,")")</f>
        <v>(en KF)</v>
      </c>
      <c r="C140" s="738"/>
      <c r="D140" s="738"/>
      <c r="E140" s="747"/>
      <c r="F140" s="748"/>
      <c r="G140" s="749"/>
      <c r="H140" s="748"/>
      <c r="I140" s="748"/>
      <c r="J140" s="748"/>
      <c r="K140" s="748"/>
      <c r="L140" s="748"/>
      <c r="M140" s="748"/>
      <c r="N140" s="748"/>
      <c r="O140" s="593" t="str">
        <f>A140</f>
        <v xml:space="preserve">     - EBE sur ... (tel pays, ou telle Division)</v>
      </c>
      <c r="P140" s="727"/>
      <c r="Q140" s="593"/>
    </row>
    <row r="141" spans="1:18" s="586" customFormat="1" ht="14" hidden="1" customHeight="1" outlineLevel="1" x14ac:dyDescent="0.15">
      <c r="A141" s="736" t="s">
        <v>473</v>
      </c>
      <c r="B141" s="737" t="str">
        <f>CONCATENATE("(en ",O21,")")</f>
        <v>(en KF)</v>
      </c>
      <c r="C141" s="738"/>
      <c r="D141" s="738"/>
      <c r="E141" s="747"/>
      <c r="F141" s="748"/>
      <c r="G141" s="749"/>
      <c r="H141" s="748"/>
      <c r="I141" s="748"/>
      <c r="J141" s="748"/>
      <c r="K141" s="748"/>
      <c r="L141" s="748"/>
      <c r="M141" s="748"/>
      <c r="N141" s="748"/>
      <c r="O141" s="593" t="str">
        <f>A141</f>
        <v xml:space="preserve">     - EBE sur ... (tel pays, ou telle Division)</v>
      </c>
      <c r="P141" s="727"/>
      <c r="Q141" s="593"/>
    </row>
    <row r="142" spans="1:18" ht="14" customHeight="1" collapsed="1" x14ac:dyDescent="0.15">
      <c r="A142" s="593"/>
      <c r="E142" s="627"/>
      <c r="F142" s="628"/>
      <c r="G142" s="629"/>
      <c r="H142" s="606"/>
      <c r="I142" s="606"/>
      <c r="J142" s="606"/>
      <c r="K142" s="606"/>
      <c r="L142" s="606"/>
      <c r="M142" s="606"/>
      <c r="N142" s="606"/>
    </row>
    <row r="143" spans="1:18" ht="14" customHeight="1" x14ac:dyDescent="0.15">
      <c r="A143" s="255" t="s">
        <v>302</v>
      </c>
      <c r="C143" s="560"/>
      <c r="D143" s="560"/>
      <c r="E143" s="623">
        <f>Etatsfin!E58</f>
        <v>19363.477999999999</v>
      </c>
      <c r="F143" s="624">
        <f>Etatsfin!F58</f>
        <v>20879.096000000001</v>
      </c>
      <c r="G143" s="625">
        <f>Etatsfin!G58</f>
        <v>28354.569</v>
      </c>
      <c r="H143" s="559">
        <f>IF(Hypo!H37="",0,H29*Hypo!H37)</f>
        <v>0</v>
      </c>
      <c r="I143" s="559">
        <f>IF(Hypo!I37="",0,I29*Hypo!I37)</f>
        <v>0</v>
      </c>
      <c r="J143" s="559">
        <f>IF(Hypo!J37="",0,J29*Hypo!J37)</f>
        <v>0</v>
      </c>
      <c r="K143" s="559">
        <f>IF(Hypo!K37="",0,K29*Hypo!K37)</f>
        <v>0</v>
      </c>
      <c r="L143" s="559">
        <f>IF(Hypo!L37="",0,L29*Hypo!L37)</f>
        <v>0</v>
      </c>
      <c r="M143" s="559">
        <f>IF(Hypo!M37="",0,M29*Hypo!M37)</f>
        <v>0</v>
      </c>
      <c r="N143" s="559">
        <f>IF(Hypo!N37="",0,N29*Hypo!N37)</f>
        <v>0</v>
      </c>
      <c r="O143" s="560" t="s">
        <v>302</v>
      </c>
    </row>
    <row r="144" spans="1:18" ht="14" customHeight="1" x14ac:dyDescent="0.15">
      <c r="A144" s="255" t="s">
        <v>474</v>
      </c>
      <c r="C144" s="560"/>
      <c r="D144" s="560"/>
      <c r="E144" s="623">
        <f>Etatsfin!E59</f>
        <v>0</v>
      </c>
      <c r="F144" s="624">
        <f>Etatsfin!F59</f>
        <v>0</v>
      </c>
      <c r="G144" s="625">
        <f>Etatsfin!G59</f>
        <v>-2199.181</v>
      </c>
      <c r="H144" s="768">
        <v>0</v>
      </c>
      <c r="I144" s="768">
        <v>0</v>
      </c>
      <c r="J144" s="768">
        <v>0</v>
      </c>
      <c r="K144" s="768">
        <v>0</v>
      </c>
      <c r="L144" s="768">
        <v>0</v>
      </c>
      <c r="M144" s="768">
        <v>0</v>
      </c>
      <c r="N144" s="768">
        <v>0</v>
      </c>
      <c r="O144" s="560" t="s">
        <v>474</v>
      </c>
    </row>
    <row r="145" spans="1:15" ht="14" customHeight="1" x14ac:dyDescent="0.15">
      <c r="C145" s="560"/>
      <c r="D145" s="560"/>
      <c r="E145" s="627"/>
      <c r="F145" s="628"/>
      <c r="G145" s="629"/>
      <c r="H145" s="606"/>
      <c r="I145" s="606"/>
      <c r="J145" s="606"/>
      <c r="K145" s="606"/>
      <c r="L145" s="606"/>
      <c r="M145" s="606"/>
      <c r="N145" s="606"/>
      <c r="O145" s="560"/>
    </row>
    <row r="146" spans="1:15" ht="14" customHeight="1" x14ac:dyDescent="0.15">
      <c r="A146" s="510" t="s">
        <v>4</v>
      </c>
      <c r="B146" s="510"/>
      <c r="C146" s="632"/>
      <c r="D146" s="632"/>
      <c r="E146" s="742">
        <f>E135-E143-E144</f>
        <v>25749.796649999971</v>
      </c>
      <c r="F146" s="422">
        <f>F135-F143-F144</f>
        <v>64505.649000000092</v>
      </c>
      <c r="G146" s="423">
        <f>G135-G143-G144</f>
        <v>87888.565000000075</v>
      </c>
      <c r="H146" s="607">
        <f>H135-H143-H144</f>
        <v>0</v>
      </c>
      <c r="I146" s="607">
        <f t="shared" ref="I146:N146" si="40">I135-I143-I144</f>
        <v>0</v>
      </c>
      <c r="J146" s="607">
        <f t="shared" si="40"/>
        <v>0</v>
      </c>
      <c r="K146" s="607">
        <f t="shared" si="40"/>
        <v>0</v>
      </c>
      <c r="L146" s="607">
        <f t="shared" si="40"/>
        <v>0</v>
      </c>
      <c r="M146" s="607">
        <f t="shared" si="40"/>
        <v>0</v>
      </c>
      <c r="N146" s="607">
        <f t="shared" si="40"/>
        <v>0</v>
      </c>
      <c r="O146" s="632" t="s">
        <v>4</v>
      </c>
    </row>
    <row r="147" spans="1:15" ht="14" customHeight="1" x14ac:dyDescent="0.15">
      <c r="A147" s="593" t="s">
        <v>464</v>
      </c>
      <c r="B147" s="510"/>
      <c r="C147" s="632"/>
      <c r="D147" s="632"/>
      <c r="E147" s="743">
        <f>IF(E104=0,"n/d ",E146/E104)</f>
        <v>3.5864891223937052E-2</v>
      </c>
      <c r="F147" s="744">
        <f t="shared" ref="F147:N147" si="41">IF(F104=0,"n/d ",F146/F104)</f>
        <v>7.1057442033479731E-2</v>
      </c>
      <c r="G147" s="745">
        <f t="shared" si="41"/>
        <v>5.4379600574860645E-2</v>
      </c>
      <c r="H147" s="731">
        <f t="shared" si="41"/>
        <v>0</v>
      </c>
      <c r="I147" s="731">
        <f t="shared" si="41"/>
        <v>0</v>
      </c>
      <c r="J147" s="731">
        <f t="shared" si="41"/>
        <v>0</v>
      </c>
      <c r="K147" s="731">
        <f t="shared" si="41"/>
        <v>0</v>
      </c>
      <c r="L147" s="731">
        <f t="shared" si="41"/>
        <v>0</v>
      </c>
      <c r="M147" s="731">
        <f t="shared" si="41"/>
        <v>0</v>
      </c>
      <c r="N147" s="731">
        <f t="shared" si="41"/>
        <v>0</v>
      </c>
      <c r="O147" s="593" t="s">
        <v>465</v>
      </c>
    </row>
    <row r="148" spans="1:15" s="510" customFormat="1" ht="14" customHeight="1" x14ac:dyDescent="0.15">
      <c r="A148" s="527"/>
      <c r="C148" s="632"/>
      <c r="D148" s="632"/>
      <c r="E148" s="742"/>
      <c r="F148" s="422"/>
      <c r="G148" s="423"/>
      <c r="H148" s="769"/>
      <c r="I148" s="769"/>
      <c r="J148" s="769"/>
      <c r="K148" s="769"/>
      <c r="L148" s="769"/>
      <c r="M148" s="769"/>
      <c r="N148" s="769"/>
      <c r="O148" s="527"/>
    </row>
    <row r="149" spans="1:15" ht="14" customHeight="1" x14ac:dyDescent="0.15">
      <c r="A149" s="255" t="s">
        <v>5</v>
      </c>
      <c r="B149" s="554"/>
      <c r="C149" s="555"/>
      <c r="D149" s="555"/>
      <c r="E149" s="608">
        <f>Etatsfin!E63</f>
        <v>7135.5244300000004</v>
      </c>
      <c r="F149" s="609">
        <f>Etatsfin!F63</f>
        <v>22582.892</v>
      </c>
      <c r="G149" s="610">
        <f>Etatsfin!G63</f>
        <v>57969.357000000004</v>
      </c>
      <c r="H149" s="559">
        <f>IF(H182&lt;=0,(((G62+H62)+(G80-H182+H197)+(G89+H89))/2)*Hypo!H39,((G62+H62)+(G80+H197)+(G89+H89))/2*Hypo!H39)</f>
        <v>0</v>
      </c>
      <c r="I149" s="559">
        <f>IF(I182&lt;=0,(((H62+I62)+(H80-I182+I197)+(H89+I89))/2)*Hypo!I39,((H62+I62)+(H80+I197)+(H89+I89))/2*Hypo!I39)</f>
        <v>0</v>
      </c>
      <c r="J149" s="559">
        <f>IF(J182&lt;=0,(((I62+J62)+(I80-J182+J197)+(I89+J89))/2)*Hypo!J39,((I62+J62)+(I80+J197)+(I89+J89))/2*Hypo!J39)</f>
        <v>0</v>
      </c>
      <c r="K149" s="559">
        <f>IF(K182&lt;=0,(((J62+K62)+(J80-K182+K197)+(J89+K89))/2)*Hypo!K39,((J62+K62)+(J80+K197)+(J89+K89))/2*Hypo!K39)</f>
        <v>0</v>
      </c>
      <c r="L149" s="559">
        <f>IF(L182&lt;=0,(((K62+L62)+(K80-L182+L197)+(K89+L89))/2)*Hypo!L39,((K62+L62)+(K80+L197)+(K89+L89))/2*Hypo!L39)</f>
        <v>0</v>
      </c>
      <c r="M149" s="559">
        <f>IF(M182&lt;=0,(((L62+M62)+(L80-M182+M197)+(L89+M89))/2)*Hypo!M39,((L62+M62)+(L80+M197)+(L89+M89))/2*Hypo!M39)</f>
        <v>0</v>
      </c>
      <c r="N149" s="559">
        <f>IF(N182&lt;=0,(((M62+N62)+(M80-N182+N197)+(M89+N89))/2)*Hypo!N39,((M62+N62)+(M80+N197)+(M89+N89))/2*Hypo!N39)</f>
        <v>0</v>
      </c>
      <c r="O149" s="560" t="s">
        <v>5</v>
      </c>
    </row>
    <row r="150" spans="1:15" ht="14" customHeight="1" x14ac:dyDescent="0.15">
      <c r="A150" s="255" t="s">
        <v>7</v>
      </c>
      <c r="E150" s="608">
        <f>Etatsfin!E64</f>
        <v>0</v>
      </c>
      <c r="F150" s="609">
        <f>Etatsfin!F64</f>
        <v>2220.1570000000002</v>
      </c>
      <c r="G150" s="610">
        <f>Etatsfin!G64</f>
        <v>0</v>
      </c>
      <c r="H150" s="559">
        <f>Hypo!H48</f>
        <v>0</v>
      </c>
      <c r="I150" s="559">
        <f>Hypo!I48</f>
        <v>0</v>
      </c>
      <c r="J150" s="559">
        <f>Hypo!J48</f>
        <v>0</v>
      </c>
      <c r="K150" s="559">
        <f>Hypo!K48</f>
        <v>0</v>
      </c>
      <c r="L150" s="559">
        <f>Hypo!L48</f>
        <v>0</v>
      </c>
      <c r="M150" s="559">
        <f>Hypo!M48</f>
        <v>0</v>
      </c>
      <c r="N150" s="559">
        <f>Hypo!N48</f>
        <v>0</v>
      </c>
      <c r="O150" s="255" t="s">
        <v>7</v>
      </c>
    </row>
    <row r="151" spans="1:15" ht="14" customHeight="1" x14ac:dyDescent="0.15">
      <c r="A151" s="255" t="s">
        <v>10</v>
      </c>
      <c r="B151" s="554"/>
      <c r="C151" s="555"/>
      <c r="D151" s="555"/>
      <c r="E151" s="608">
        <f>Etatsfin!E65</f>
        <v>0</v>
      </c>
      <c r="F151" s="609">
        <f>Etatsfin!F65</f>
        <v>0</v>
      </c>
      <c r="G151" s="610">
        <f>Etatsfin!G65</f>
        <v>4837.8220000000001</v>
      </c>
      <c r="H151" s="559">
        <f>IF(H182&gt;0,((G47+H182+H197)/2)*Hypo!H40,(G47+H197)/2*Hypo!H40)</f>
        <v>0</v>
      </c>
      <c r="I151" s="559">
        <f>IF(I182&gt;0,((H47+I182+I197)/2)*Hypo!I40,(H47+I197)/2*Hypo!I40)</f>
        <v>0</v>
      </c>
      <c r="J151" s="559">
        <f>IF(J182&gt;0,((I47+J182+J197)/2)*Hypo!J40,(I47+J197)/2*Hypo!J40)</f>
        <v>0</v>
      </c>
      <c r="K151" s="559">
        <f>IF(K182&gt;0,((J47+K182+K197)/2)*Hypo!K40,(J47+K197)/2*Hypo!K40)</f>
        <v>0</v>
      </c>
      <c r="L151" s="559">
        <f>IF(L182&gt;0,((K47+L182+L197)/2)*Hypo!L40,(K47+L197)/2*Hypo!L40)</f>
        <v>0</v>
      </c>
      <c r="M151" s="559">
        <f>IF(M182&gt;0,((L47+M182+M197)/2)*Hypo!M40,(L47+M197)/2*Hypo!M40)</f>
        <v>0</v>
      </c>
      <c r="N151" s="559">
        <f>IF(N182&gt;0,((M47+N182+N197)/2)*Hypo!N40,(M47+N197)/2*Hypo!N40)</f>
        <v>0</v>
      </c>
      <c r="O151" s="560" t="s">
        <v>10</v>
      </c>
    </row>
    <row r="152" spans="1:15" ht="14" customHeight="1" x14ac:dyDescent="0.15">
      <c r="A152" s="770"/>
      <c r="E152" s="627"/>
      <c r="F152" s="628"/>
      <c r="G152" s="629"/>
      <c r="H152" s="769"/>
      <c r="I152" s="769"/>
      <c r="J152" s="769"/>
      <c r="K152" s="769"/>
      <c r="L152" s="769"/>
      <c r="M152" s="769"/>
      <c r="N152" s="769"/>
      <c r="O152" s="771"/>
    </row>
    <row r="153" spans="1:15" s="510" customFormat="1" ht="14" customHeight="1" x14ac:dyDescent="0.15">
      <c r="A153" s="510" t="s">
        <v>14</v>
      </c>
      <c r="E153" s="742">
        <f>E146-E149-E150+E151</f>
        <v>18614.27221999997</v>
      </c>
      <c r="F153" s="422">
        <f>F146-F149-F150+F151</f>
        <v>39702.600000000093</v>
      </c>
      <c r="G153" s="423">
        <f>G146-G149-G150+G151</f>
        <v>34757.030000000072</v>
      </c>
      <c r="H153" s="607">
        <f t="shared" ref="H153:N153" si="42">H146-H149-H150+H151</f>
        <v>0</v>
      </c>
      <c r="I153" s="607">
        <f t="shared" si="42"/>
        <v>0</v>
      </c>
      <c r="J153" s="607">
        <f t="shared" si="42"/>
        <v>0</v>
      </c>
      <c r="K153" s="607">
        <f t="shared" si="42"/>
        <v>0</v>
      </c>
      <c r="L153" s="607">
        <f t="shared" si="42"/>
        <v>0</v>
      </c>
      <c r="M153" s="607">
        <f t="shared" si="42"/>
        <v>0</v>
      </c>
      <c r="N153" s="607">
        <f t="shared" si="42"/>
        <v>0</v>
      </c>
      <c r="O153" s="510" t="s">
        <v>14</v>
      </c>
    </row>
    <row r="154" spans="1:15" s="510" customFormat="1" ht="14" customHeight="1" x14ac:dyDescent="0.15">
      <c r="A154" s="593" t="s">
        <v>464</v>
      </c>
      <c r="E154" s="743">
        <f>IF(E104=0,"n/d ",E153/E104)</f>
        <v>2.5926373612082599E-2</v>
      </c>
      <c r="F154" s="744">
        <f t="shared" ref="F154:N154" si="43">IF(F104=0,"n/d ",F153/F104)</f>
        <v>4.3735164932274924E-2</v>
      </c>
      <c r="G154" s="745">
        <f t="shared" si="43"/>
        <v>2.1505339273299673E-2</v>
      </c>
      <c r="H154" s="731">
        <f>IF(H104=0,"n/d ",H153/H104)</f>
        <v>0</v>
      </c>
      <c r="I154" s="731">
        <f t="shared" si="43"/>
        <v>0</v>
      </c>
      <c r="J154" s="731">
        <f t="shared" si="43"/>
        <v>0</v>
      </c>
      <c r="K154" s="731">
        <f t="shared" si="43"/>
        <v>0</v>
      </c>
      <c r="L154" s="731">
        <f t="shared" si="43"/>
        <v>0</v>
      </c>
      <c r="M154" s="731">
        <f t="shared" si="43"/>
        <v>0</v>
      </c>
      <c r="N154" s="731">
        <f t="shared" si="43"/>
        <v>0</v>
      </c>
      <c r="O154" s="593" t="s">
        <v>465</v>
      </c>
    </row>
    <row r="155" spans="1:15" s="510" customFormat="1" ht="14" customHeight="1" x14ac:dyDescent="0.15">
      <c r="A155" s="323" t="str">
        <f>IF(E104=0,"",IF(AND(Etatsfin!D14=0,Etatsfin!J15=0,Etatsfin!J28=0)," ''Etatsfin'' semble incomplète pour la 1ère des 4 années ! Attention à la 1ère, 2ème et 4ème ligne ci-dessous pour l'année ''E'' ! Saisie manuelle recommandée.",""))</f>
        <v/>
      </c>
      <c r="E155" s="742"/>
      <c r="F155" s="422"/>
      <c r="G155" s="423"/>
      <c r="H155" s="607"/>
      <c r="I155" s="607"/>
      <c r="J155" s="607"/>
      <c r="K155" s="607"/>
      <c r="L155" s="607"/>
      <c r="M155" s="607"/>
      <c r="N155" s="607"/>
    </row>
    <row r="156" spans="1:15" ht="14" customHeight="1" x14ac:dyDescent="0.15">
      <c r="A156" s="255" t="s">
        <v>601</v>
      </c>
      <c r="E156" s="623">
        <f>IF(AND(E57=0,E104=0),"n/d ",(E79-Etatsfin!J28)-((E165-E57)-E256))</f>
        <v>-1.7999999963649316E-2</v>
      </c>
      <c r="F156" s="772">
        <f>IF(AND(F57=0,F104=0),"n/d ",(F79-E79)-((F165-F57)-F256))</f>
        <v>-9.0298880106274737E-2</v>
      </c>
      <c r="G156" s="773">
        <f>IF(AND(G57=0,G104=0),"n/d ",(G79-F79)-((G165-G57)-G256))</f>
        <v>844.24199999994426</v>
      </c>
      <c r="H156" s="606">
        <f>Hypo!H63</f>
        <v>0</v>
      </c>
      <c r="I156" s="606">
        <f>Hypo!I63</f>
        <v>0</v>
      </c>
      <c r="J156" s="606">
        <f>Hypo!J63</f>
        <v>0</v>
      </c>
      <c r="K156" s="606">
        <f>Hypo!K63</f>
        <v>0</v>
      </c>
      <c r="L156" s="606">
        <f>Hypo!L63</f>
        <v>0</v>
      </c>
      <c r="M156" s="606">
        <f>Hypo!M63</f>
        <v>0</v>
      </c>
      <c r="N156" s="606">
        <f>Hypo!N63</f>
        <v>0</v>
      </c>
      <c r="O156" s="255" t="s">
        <v>601</v>
      </c>
    </row>
    <row r="157" spans="1:15" ht="14" customHeight="1" x14ac:dyDescent="0.15">
      <c r="A157" s="255" t="s">
        <v>602</v>
      </c>
      <c r="E157" s="623">
        <f>E60-Etatsfin!J15</f>
        <v>0</v>
      </c>
      <c r="F157" s="772">
        <f>F60-E60</f>
        <v>0</v>
      </c>
      <c r="G157" s="773">
        <f>G60-F60</f>
        <v>0</v>
      </c>
      <c r="H157" s="606">
        <f>Hypo!H64</f>
        <v>0</v>
      </c>
      <c r="I157" s="606">
        <f>Hypo!I64</f>
        <v>0</v>
      </c>
      <c r="J157" s="606">
        <f>Hypo!J64</f>
        <v>0</v>
      </c>
      <c r="K157" s="606">
        <f>Hypo!K64</f>
        <v>0</v>
      </c>
      <c r="L157" s="606">
        <f>Hypo!L64</f>
        <v>0</v>
      </c>
      <c r="M157" s="606">
        <f>Hypo!M64</f>
        <v>0</v>
      </c>
      <c r="N157" s="606">
        <f>Hypo!N64</f>
        <v>0</v>
      </c>
      <c r="O157" s="255" t="s">
        <v>602</v>
      </c>
    </row>
    <row r="158" spans="1:15" ht="14" customHeight="1" x14ac:dyDescent="0.15">
      <c r="A158" s="255" t="s">
        <v>475</v>
      </c>
      <c r="E158" s="774">
        <f>Hypo!E65</f>
        <v>0</v>
      </c>
      <c r="F158" s="775">
        <f>Hypo!F65</f>
        <v>0</v>
      </c>
      <c r="G158" s="776">
        <f>Hypo!G65</f>
        <v>0</v>
      </c>
      <c r="H158" s="606">
        <f>Hypo!H65</f>
        <v>0</v>
      </c>
      <c r="I158" s="606">
        <f>Hypo!I65</f>
        <v>0</v>
      </c>
      <c r="J158" s="606">
        <f>Hypo!J65</f>
        <v>0</v>
      </c>
      <c r="K158" s="606">
        <f>Hypo!K65</f>
        <v>0</v>
      </c>
      <c r="L158" s="606">
        <f>Hypo!L65</f>
        <v>0</v>
      </c>
      <c r="M158" s="606">
        <f>Hypo!M65</f>
        <v>0</v>
      </c>
      <c r="N158" s="606">
        <f>Hypo!N65</f>
        <v>0</v>
      </c>
      <c r="O158" s="255" t="s">
        <v>475</v>
      </c>
    </row>
    <row r="159" spans="1:15" ht="14" customHeight="1" x14ac:dyDescent="0.15">
      <c r="A159" s="255" t="s">
        <v>476</v>
      </c>
      <c r="E159" s="777">
        <f>IF(Hypo!E62="              A saisir le cas échéant",E232-(E218-(E32-Etatsfin!D14)-E143+E113),E232-(E218-(E32-Etatsfin!D14)-E143+E113)-Hypo!E62)</f>
        <v>-3.637978807091713E-12</v>
      </c>
      <c r="F159" s="775">
        <f>F232-(F218-(F32-E32)-F143+F113)-Hypo!F62</f>
        <v>-23322.944333333333</v>
      </c>
      <c r="G159" s="776">
        <f>G232-(G218-(G32-F32)-G143+G113)-Hypo!G62</f>
        <v>-53131.535000000003</v>
      </c>
      <c r="H159" s="606">
        <f>Hypo!H59-Hypo!H61-Hypo!H62</f>
        <v>0</v>
      </c>
      <c r="I159" s="606">
        <f>Hypo!I59-Hypo!I61-Hypo!I62</f>
        <v>0</v>
      </c>
      <c r="J159" s="606">
        <f>Hypo!J59-Hypo!J61-Hypo!J62</f>
        <v>0</v>
      </c>
      <c r="K159" s="606">
        <f>Hypo!K59-Hypo!K61-Hypo!K62</f>
        <v>0</v>
      </c>
      <c r="L159" s="606">
        <f>Hypo!L59-Hypo!L61-Hypo!L62</f>
        <v>0</v>
      </c>
      <c r="M159" s="606">
        <f>Hypo!M59-Hypo!M61-Hypo!M62</f>
        <v>0</v>
      </c>
      <c r="N159" s="606">
        <f>Hypo!N59-Hypo!N61-Hypo!N62</f>
        <v>0</v>
      </c>
      <c r="O159" s="255" t="s">
        <v>476</v>
      </c>
    </row>
    <row r="160" spans="1:15" ht="14" customHeight="1" x14ac:dyDescent="0.15">
      <c r="A160" s="255" t="s">
        <v>170</v>
      </c>
      <c r="E160" s="608">
        <f>Saisie!F139</f>
        <v>0</v>
      </c>
      <c r="F160" s="609">
        <f>Saisie!G139</f>
        <v>0</v>
      </c>
      <c r="G160" s="610">
        <f>Saisie!H139</f>
        <v>0</v>
      </c>
      <c r="H160" s="559">
        <f>Hypo!H66</f>
        <v>0</v>
      </c>
      <c r="I160" s="559">
        <f>Hypo!I66</f>
        <v>0</v>
      </c>
      <c r="J160" s="559">
        <f>Hypo!J66</f>
        <v>0</v>
      </c>
      <c r="K160" s="559">
        <f>Hypo!K66</f>
        <v>0</v>
      </c>
      <c r="L160" s="559">
        <f>Hypo!L66</f>
        <v>0</v>
      </c>
      <c r="M160" s="559">
        <f>Hypo!M66</f>
        <v>0</v>
      </c>
      <c r="N160" s="559">
        <f>Hypo!N66</f>
        <v>0</v>
      </c>
      <c r="O160" s="255" t="s">
        <v>170</v>
      </c>
    </row>
    <row r="161" spans="1:20" ht="14" customHeight="1" x14ac:dyDescent="0.15">
      <c r="A161" s="255" t="s">
        <v>477</v>
      </c>
      <c r="E161" s="623">
        <f>IF(Etatsfin!K70="A saisir ici","n/d ",Etatsfin!K70)</f>
        <v>5896.4235400000471</v>
      </c>
      <c r="F161" s="624">
        <f>IF(Etatsfin!L70="A saisir ici","n/d ",Etatsfin!L70)</f>
        <v>-11395.678560000029</v>
      </c>
      <c r="G161" s="625">
        <f>IF(Etatsfin!M70="A saisir ici","n/d ",Etatsfin!M70)</f>
        <v>2776.9540000000002</v>
      </c>
      <c r="H161" s="606">
        <f>Hypo!H67</f>
        <v>0</v>
      </c>
      <c r="I161" s="606">
        <f>Hypo!I67</f>
        <v>0</v>
      </c>
      <c r="J161" s="606">
        <f>Hypo!J67</f>
        <v>0</v>
      </c>
      <c r="K161" s="606">
        <f>Hypo!K67</f>
        <v>0</v>
      </c>
      <c r="L161" s="606">
        <f>Hypo!L67</f>
        <v>0</v>
      </c>
      <c r="M161" s="606">
        <f>Hypo!M67</f>
        <v>0</v>
      </c>
      <c r="N161" s="606">
        <f>Hypo!N67</f>
        <v>0</v>
      </c>
      <c r="O161" s="255" t="s">
        <v>477</v>
      </c>
    </row>
    <row r="162" spans="1:20" ht="14" customHeight="1" x14ac:dyDescent="0.15">
      <c r="A162" s="527" t="s">
        <v>603</v>
      </c>
      <c r="E162" s="623">
        <f>IF(OR(E156="n/d ",E161="n/d "),"n/d ",Saisie!F166+E156+E157+E158-E159+E160-E161)</f>
        <v>-1.756000000750646E-2</v>
      </c>
      <c r="F162" s="624">
        <f>IF(OR(F156="n/d ",F161="n/d "),"n/d ",Saisie!G166+F156+F157+F158-F159+F160-F161)</f>
        <v>23322.85459445326</v>
      </c>
      <c r="G162" s="625">
        <f>IF(OR(G156="n/d ",G161="n/d "),"n/d ",Saisie!H166+G156+G157+G158-G159+G160-G161)</f>
        <v>51198.822999999953</v>
      </c>
      <c r="H162" s="768">
        <v>0</v>
      </c>
      <c r="I162" s="768">
        <v>0</v>
      </c>
      <c r="J162" s="768">
        <v>0</v>
      </c>
      <c r="K162" s="768">
        <v>0</v>
      </c>
      <c r="L162" s="768">
        <v>0</v>
      </c>
      <c r="M162" s="768">
        <v>0</v>
      </c>
      <c r="N162" s="768">
        <v>0</v>
      </c>
      <c r="O162" s="527" t="s">
        <v>478</v>
      </c>
    </row>
    <row r="163" spans="1:20" ht="14" customHeight="1" x14ac:dyDescent="0.15">
      <c r="A163" s="255" t="s">
        <v>169</v>
      </c>
      <c r="E163" s="623">
        <f>Etatsfin!E71</f>
        <v>6127.6695499999996</v>
      </c>
      <c r="F163" s="624">
        <f>Etatsfin!F71</f>
        <v>6938.5937011200003</v>
      </c>
      <c r="G163" s="625">
        <f>Etatsfin!G71</f>
        <v>6990.3630000000003</v>
      </c>
      <c r="H163" s="606">
        <f t="shared" ref="H163:N163" si="44">IF(H171&lt;=0,0,H17*H171)</f>
        <v>0</v>
      </c>
      <c r="I163" s="606">
        <f t="shared" si="44"/>
        <v>0</v>
      </c>
      <c r="J163" s="606">
        <f t="shared" si="44"/>
        <v>0</v>
      </c>
      <c r="K163" s="606">
        <f t="shared" si="44"/>
        <v>0</v>
      </c>
      <c r="L163" s="606">
        <f t="shared" si="44"/>
        <v>0</v>
      </c>
      <c r="M163" s="606">
        <f t="shared" si="44"/>
        <v>0</v>
      </c>
      <c r="N163" s="606">
        <f t="shared" si="44"/>
        <v>0</v>
      </c>
      <c r="O163" s="255" t="s">
        <v>169</v>
      </c>
    </row>
    <row r="164" spans="1:20" ht="14" customHeight="1" x14ac:dyDescent="0.15">
      <c r="B164" s="778" t="str">
        <f>IF(AND(E164="",F164="",G164=""),"","Le RN est pour l'instant incohérent !")</f>
        <v/>
      </c>
      <c r="E164" s="779" t="str">
        <f>IF(AND(E153=0,E165=0),"",IF(OR(E161="n/d ",E162="n/d "),"Erreur !",IF(AND((E165-(E153-E156-E157-E158+E159-E160+E161+E162-E163))&gt;=-0.1,(E165-(E153-E156-E157-E158+E159-E160+E161+E162-E163))&lt;=0.1),"","Erreur !")))</f>
        <v/>
      </c>
      <c r="F164" s="780" t="str">
        <f>IF(AND(F153=0,F165=0),"",IF(OR(F156="n/d ",F161="n/d ",F162="n/d "),"Erreur !",IF(AND((F165-(F153-F156-F157-F158+F159-F160+F161+F162-F163))&gt;=-0.1,(F165-(F153-F156-F157-F158+F159-F160+F161+F162-F163))&lt;=0.1),"","Erreur !")))</f>
        <v/>
      </c>
      <c r="G164" s="781" t="str">
        <f>IF(AND(G153=0,G165=0),"",IF(OR(G161="n/d ",G162="n/d "),"Erreur !",IF(AND((G165-(G153-G156-G157-G158+G159-G160+G161+G162-G163))&gt;=-0.1,(G165-(G153-G156-G157-G158+G159-G160+G161+G162-G163))&lt;=0.1),"","Erreur !")))</f>
        <v/>
      </c>
      <c r="H164" s="606"/>
      <c r="I164" s="606"/>
      <c r="J164" s="606"/>
      <c r="K164" s="606"/>
      <c r="L164" s="606"/>
      <c r="M164" s="606"/>
      <c r="N164" s="606"/>
    </row>
    <row r="165" spans="1:20" s="450" customFormat="1" ht="28" customHeight="1" x14ac:dyDescent="0.15">
      <c r="A165" s="450" t="s">
        <v>318</v>
      </c>
      <c r="E165" s="782">
        <f>Etatsfin!E73</f>
        <v>18383.026649999963</v>
      </c>
      <c r="F165" s="783">
        <f>Etatsfin!F73</f>
        <v>21368.328298880107</v>
      </c>
      <c r="G165" s="784">
        <f>Etatsfin!G73</f>
        <v>27766.667000000056</v>
      </c>
      <c r="H165" s="785">
        <f t="shared" ref="H165:N165" si="45">H153-H156-H157-H158+H159-H160+H161-H163</f>
        <v>0</v>
      </c>
      <c r="I165" s="785">
        <f t="shared" si="45"/>
        <v>0</v>
      </c>
      <c r="J165" s="785">
        <f t="shared" si="45"/>
        <v>0</v>
      </c>
      <c r="K165" s="785">
        <f t="shared" si="45"/>
        <v>0</v>
      </c>
      <c r="L165" s="785">
        <f t="shared" si="45"/>
        <v>0</v>
      </c>
      <c r="M165" s="785">
        <f t="shared" si="45"/>
        <v>0</v>
      </c>
      <c r="N165" s="785">
        <f t="shared" si="45"/>
        <v>0</v>
      </c>
      <c r="O165" s="450" t="s">
        <v>318</v>
      </c>
    </row>
    <row r="166" spans="1:20" s="450" customFormat="1" ht="14" customHeight="1" x14ac:dyDescent="0.15">
      <c r="A166" s="593" t="s">
        <v>464</v>
      </c>
      <c r="E166" s="786">
        <f>IF(E104=0,"n/d ",E165/E104)</f>
        <v>2.5604289623350689E-2</v>
      </c>
      <c r="F166" s="787">
        <f>IF(F104=0,"n/d ",F165/F104)</f>
        <v>2.353869425373948E-2</v>
      </c>
      <c r="G166" s="788">
        <f>IF(G104=0,"n/d ",G165/G104)</f>
        <v>1.7180167417173847E-2</v>
      </c>
      <c r="H166" s="789">
        <f>IF(H104=0,"n/d ",H165/H104)</f>
        <v>0</v>
      </c>
      <c r="I166" s="789">
        <f t="shared" ref="I166:N166" si="46">IF(I104=0,"n/d ",I165/I104)</f>
        <v>0</v>
      </c>
      <c r="J166" s="789">
        <f t="shared" si="46"/>
        <v>0</v>
      </c>
      <c r="K166" s="789">
        <f t="shared" si="46"/>
        <v>0</v>
      </c>
      <c r="L166" s="789">
        <f t="shared" si="46"/>
        <v>0</v>
      </c>
      <c r="M166" s="789">
        <f t="shared" si="46"/>
        <v>0</v>
      </c>
      <c r="N166" s="789">
        <f t="shared" si="46"/>
        <v>0</v>
      </c>
      <c r="O166" s="790" t="s">
        <v>465</v>
      </c>
    </row>
    <row r="167" spans="1:20" s="510" customFormat="1" ht="14.25" customHeight="1" x14ac:dyDescent="0.15">
      <c r="A167" s="750"/>
      <c r="B167" s="750"/>
      <c r="C167" s="750"/>
      <c r="D167" s="750"/>
      <c r="E167" s="791"/>
      <c r="F167" s="791"/>
      <c r="G167" s="791"/>
      <c r="H167" s="792"/>
      <c r="I167" s="792"/>
      <c r="J167" s="792"/>
      <c r="K167" s="792"/>
      <c r="L167" s="792"/>
      <c r="M167" s="792"/>
      <c r="N167" s="700"/>
    </row>
    <row r="168" spans="1:20" s="510" customFormat="1" ht="14.25" customHeight="1" x14ac:dyDescent="0.15">
      <c r="E168" s="792"/>
      <c r="F168" s="792"/>
      <c r="G168" s="792"/>
      <c r="H168" s="792"/>
      <c r="I168" s="792"/>
      <c r="J168" s="792"/>
      <c r="K168" s="792"/>
      <c r="L168" s="792"/>
      <c r="M168" s="793">
        <f ca="1">NOW()</f>
        <v>46304.722831944448</v>
      </c>
      <c r="N168" s="794" t="s">
        <v>479</v>
      </c>
    </row>
    <row r="169" spans="1:20" s="510" customFormat="1" ht="13.5" customHeight="1" x14ac:dyDescent="0.15">
      <c r="A169" s="795" t="s">
        <v>480</v>
      </c>
      <c r="B169" s="796"/>
      <c r="C169" s="796"/>
      <c r="D169" s="796"/>
      <c r="E169" s="797"/>
      <c r="F169" s="798"/>
      <c r="G169" s="799"/>
      <c r="H169" s="800">
        <f>H153-H156-H157-H158+H159-H160+H161</f>
        <v>0</v>
      </c>
      <c r="I169" s="800">
        <f t="shared" ref="I169:N169" si="47">I153-I156-I157-I158+I159-I160+I161</f>
        <v>0</v>
      </c>
      <c r="J169" s="800">
        <f t="shared" si="47"/>
        <v>0</v>
      </c>
      <c r="K169" s="800">
        <f t="shared" si="47"/>
        <v>0</v>
      </c>
      <c r="L169" s="800">
        <f t="shared" si="47"/>
        <v>0</v>
      </c>
      <c r="M169" s="800">
        <f t="shared" si="47"/>
        <v>0</v>
      </c>
      <c r="N169" s="800">
        <f t="shared" si="47"/>
        <v>0</v>
      </c>
      <c r="O169" s="796" t="s">
        <v>480</v>
      </c>
      <c r="P169" s="801"/>
      <c r="Q169" s="801"/>
      <c r="R169" s="801"/>
      <c r="S169" s="802"/>
      <c r="T169" s="803"/>
    </row>
    <row r="170" spans="1:20" s="510" customFormat="1" ht="13.5" customHeight="1" x14ac:dyDescent="0.15">
      <c r="A170" s="804" t="s">
        <v>481</v>
      </c>
      <c r="B170" s="805"/>
      <c r="C170" s="805"/>
      <c r="D170" s="805"/>
      <c r="E170" s="806"/>
      <c r="F170" s="807"/>
      <c r="G170" s="808"/>
      <c r="H170" s="806">
        <f>IF(G172&lt;0,1,0)</f>
        <v>0</v>
      </c>
      <c r="I170" s="806">
        <f t="shared" ref="I170:N170" si="48">IF(H172&lt;0,1,0)</f>
        <v>0</v>
      </c>
      <c r="J170" s="806">
        <f t="shared" si="48"/>
        <v>0</v>
      </c>
      <c r="K170" s="806">
        <f t="shared" si="48"/>
        <v>0</v>
      </c>
      <c r="L170" s="806">
        <f t="shared" si="48"/>
        <v>0</v>
      </c>
      <c r="M170" s="806">
        <f t="shared" si="48"/>
        <v>0</v>
      </c>
      <c r="N170" s="806">
        <f t="shared" si="48"/>
        <v>0</v>
      </c>
      <c r="O170" s="805" t="s">
        <v>481</v>
      </c>
      <c r="P170" s="809"/>
      <c r="Q170" s="809"/>
      <c r="R170" s="809"/>
      <c r="S170" s="810"/>
      <c r="T170" s="803"/>
    </row>
    <row r="171" spans="1:20" s="510" customFormat="1" ht="13.5" customHeight="1" x14ac:dyDescent="0.15">
      <c r="A171" s="804" t="s">
        <v>482</v>
      </c>
      <c r="B171" s="805"/>
      <c r="C171" s="805"/>
      <c r="D171" s="805"/>
      <c r="E171" s="811"/>
      <c r="F171" s="812"/>
      <c r="G171" s="813" t="str">
        <f>IF(G172&gt;0,"Saisir un chiffre négatif  !","")</f>
        <v/>
      </c>
      <c r="H171" s="814">
        <f>H169+(G172*H170)</f>
        <v>0</v>
      </c>
      <c r="I171" s="814">
        <f t="shared" ref="I171:N171" si="49">I169+(H172*I170)</f>
        <v>0</v>
      </c>
      <c r="J171" s="814">
        <f t="shared" si="49"/>
        <v>0</v>
      </c>
      <c r="K171" s="814">
        <f t="shared" si="49"/>
        <v>0</v>
      </c>
      <c r="L171" s="814">
        <f t="shared" si="49"/>
        <v>0</v>
      </c>
      <c r="M171" s="814">
        <f t="shared" si="49"/>
        <v>0</v>
      </c>
      <c r="N171" s="814">
        <f t="shared" si="49"/>
        <v>0</v>
      </c>
      <c r="O171" s="805" t="s">
        <v>482</v>
      </c>
      <c r="P171" s="809"/>
      <c r="Q171" s="809"/>
      <c r="R171" s="809"/>
      <c r="S171" s="810"/>
      <c r="T171" s="803"/>
    </row>
    <row r="172" spans="1:20" s="510" customFormat="1" ht="29" customHeight="1" x14ac:dyDescent="0.15">
      <c r="A172" s="815" t="s">
        <v>483</v>
      </c>
      <c r="B172" s="816"/>
      <c r="C172" s="816"/>
      <c r="D172" s="816"/>
      <c r="E172" s="817"/>
      <c r="F172" s="818"/>
      <c r="G172" s="819">
        <f>IF(G165&lt;0,G165,0)</f>
        <v>0</v>
      </c>
      <c r="H172" s="820">
        <f>IF(H171&gt;0,0,H171)</f>
        <v>0</v>
      </c>
      <c r="I172" s="820">
        <f t="shared" ref="I172:N172" si="50">IF(I171&gt;0,0,I171)</f>
        <v>0</v>
      </c>
      <c r="J172" s="820">
        <f t="shared" si="50"/>
        <v>0</v>
      </c>
      <c r="K172" s="820">
        <f t="shared" si="50"/>
        <v>0</v>
      </c>
      <c r="L172" s="820">
        <f t="shared" si="50"/>
        <v>0</v>
      </c>
      <c r="M172" s="820">
        <f t="shared" si="50"/>
        <v>0</v>
      </c>
      <c r="N172" s="820">
        <f t="shared" si="50"/>
        <v>0</v>
      </c>
      <c r="O172" s="821" t="s">
        <v>484</v>
      </c>
      <c r="P172" s="822"/>
      <c r="Q172" s="822"/>
      <c r="R172" s="822"/>
      <c r="S172" s="823"/>
      <c r="T172" s="803"/>
    </row>
    <row r="173" spans="1:20" s="510" customFormat="1" ht="13.5" customHeight="1" x14ac:dyDescent="0.15">
      <c r="A173" s="824" t="s">
        <v>485</v>
      </c>
      <c r="B173" s="825"/>
      <c r="C173" s="825"/>
      <c r="D173" s="825"/>
      <c r="E173" s="826"/>
      <c r="F173" s="827"/>
      <c r="G173" s="827"/>
      <c r="H173" s="827"/>
      <c r="I173" s="827"/>
      <c r="J173" s="827"/>
      <c r="K173" s="827"/>
      <c r="L173" s="827"/>
      <c r="M173" s="827"/>
      <c r="N173" s="828"/>
      <c r="O173" s="829" t="s">
        <v>485</v>
      </c>
      <c r="P173" s="830"/>
      <c r="Q173" s="830"/>
      <c r="R173" s="830"/>
      <c r="S173" s="831"/>
      <c r="T173" s="803"/>
    </row>
    <row r="174" spans="1:20" s="510" customFormat="1" ht="22.5" hidden="1" customHeight="1" x14ac:dyDescent="0.15">
      <c r="A174" s="832" t="s">
        <v>486</v>
      </c>
      <c r="B174" s="809"/>
      <c r="C174" s="809"/>
      <c r="D174" s="809"/>
      <c r="E174" s="833"/>
      <c r="F174" s="833"/>
      <c r="G174" s="834"/>
      <c r="H174" s="814">
        <f>H146-H150-H156-H157-H158+H159-H160+H161</f>
        <v>0</v>
      </c>
      <c r="I174" s="814">
        <f t="shared" ref="I174:N174" si="51">I146-I150-I156-I157-I158+I159-I160+I161</f>
        <v>0</v>
      </c>
      <c r="J174" s="814">
        <f t="shared" si="51"/>
        <v>0</v>
      </c>
      <c r="K174" s="814">
        <f t="shared" si="51"/>
        <v>0</v>
      </c>
      <c r="L174" s="814">
        <f t="shared" si="51"/>
        <v>0</v>
      </c>
      <c r="M174" s="814">
        <f t="shared" si="51"/>
        <v>0</v>
      </c>
      <c r="N174" s="814">
        <f t="shared" si="51"/>
        <v>0</v>
      </c>
      <c r="O174" s="832" t="s">
        <v>486</v>
      </c>
      <c r="P174" s="805"/>
      <c r="Q174" s="805"/>
      <c r="R174" s="805"/>
      <c r="S174" s="810"/>
      <c r="T174" s="835"/>
    </row>
    <row r="175" spans="1:20" s="510" customFormat="1" ht="68.25" hidden="1" customHeight="1" x14ac:dyDescent="0.15">
      <c r="A175" s="836" t="s">
        <v>487</v>
      </c>
      <c r="B175" s="837"/>
      <c r="C175" s="837"/>
      <c r="D175" s="837"/>
      <c r="E175" s="838" t="s">
        <v>488</v>
      </c>
      <c r="F175" s="839"/>
      <c r="G175" s="839"/>
      <c r="H175" s="840">
        <f t="shared" ref="H175:N175" si="52">IF((H174+(G172*H170))&lt;=0,H174,((1-H17)*H174)-(H17*(G172*H170)))</f>
        <v>0</v>
      </c>
      <c r="I175" s="840">
        <f t="shared" si="52"/>
        <v>0</v>
      </c>
      <c r="J175" s="840">
        <f t="shared" si="52"/>
        <v>0</v>
      </c>
      <c r="K175" s="840">
        <f t="shared" si="52"/>
        <v>0</v>
      </c>
      <c r="L175" s="840">
        <f t="shared" si="52"/>
        <v>0</v>
      </c>
      <c r="M175" s="840">
        <f t="shared" si="52"/>
        <v>0</v>
      </c>
      <c r="N175" s="840">
        <f t="shared" si="52"/>
        <v>0</v>
      </c>
      <c r="O175" s="836" t="s">
        <v>489</v>
      </c>
      <c r="P175" s="809"/>
      <c r="Q175" s="809"/>
      <c r="R175" s="810"/>
      <c r="S175" s="810"/>
      <c r="T175" s="835"/>
    </row>
    <row r="176" spans="1:20" ht="14" hidden="1" customHeight="1" x14ac:dyDescent="0.15">
      <c r="A176" s="836" t="s">
        <v>490</v>
      </c>
      <c r="B176" s="841"/>
      <c r="C176" s="841"/>
      <c r="D176" s="841"/>
      <c r="E176" s="842"/>
      <c r="F176" s="842"/>
      <c r="G176" s="842"/>
      <c r="H176" s="840">
        <f t="shared" ref="H176:N176" si="53">IF(H174-H183+H186+(G172*H170)&lt;=0,H174-H183+H186,((1-H17)*(H174-H183+H186))-(H17*G172*H170))</f>
        <v>0</v>
      </c>
      <c r="I176" s="840">
        <f t="shared" si="53"/>
        <v>0</v>
      </c>
      <c r="J176" s="840">
        <f t="shared" si="53"/>
        <v>0</v>
      </c>
      <c r="K176" s="840">
        <f t="shared" si="53"/>
        <v>0</v>
      </c>
      <c r="L176" s="840">
        <f t="shared" si="53"/>
        <v>0</v>
      </c>
      <c r="M176" s="840">
        <f t="shared" si="53"/>
        <v>0</v>
      </c>
      <c r="N176" s="840">
        <f t="shared" si="53"/>
        <v>0</v>
      </c>
      <c r="O176" s="836" t="s">
        <v>490</v>
      </c>
      <c r="P176" s="805"/>
      <c r="Q176" s="805"/>
      <c r="R176" s="843"/>
      <c r="S176" s="843"/>
      <c r="T176" s="844"/>
    </row>
    <row r="177" spans="1:21" ht="14" hidden="1" customHeight="1" x14ac:dyDescent="0.15">
      <c r="A177" s="836" t="s">
        <v>491</v>
      </c>
      <c r="B177" s="841"/>
      <c r="C177" s="841"/>
      <c r="D177" s="841"/>
      <c r="E177" s="842"/>
      <c r="F177" s="842"/>
      <c r="G177" s="842"/>
      <c r="H177" s="840">
        <f t="shared" ref="H177:N177" si="54">IF(H174-H184+H187+(G172*H170)&lt;=0,H174-H184+H187,((1-H17)*(H174-H184+H187))-(H17*G172*H170))</f>
        <v>0</v>
      </c>
      <c r="I177" s="840">
        <f t="shared" si="54"/>
        <v>0</v>
      </c>
      <c r="J177" s="840">
        <f t="shared" si="54"/>
        <v>0</v>
      </c>
      <c r="K177" s="840">
        <f t="shared" si="54"/>
        <v>0</v>
      </c>
      <c r="L177" s="840">
        <f t="shared" si="54"/>
        <v>0</v>
      </c>
      <c r="M177" s="840">
        <f t="shared" si="54"/>
        <v>0</v>
      </c>
      <c r="N177" s="840">
        <f t="shared" si="54"/>
        <v>0</v>
      </c>
      <c r="O177" s="836" t="s">
        <v>491</v>
      </c>
      <c r="P177" s="805"/>
      <c r="Q177" s="805"/>
      <c r="R177" s="843"/>
      <c r="S177" s="843"/>
      <c r="T177" s="844"/>
    </row>
    <row r="178" spans="1:21" ht="14" hidden="1" customHeight="1" x14ac:dyDescent="0.15">
      <c r="A178" s="836" t="s">
        <v>492</v>
      </c>
      <c r="B178" s="841"/>
      <c r="C178" s="841"/>
      <c r="D178" s="841"/>
      <c r="E178" s="842"/>
      <c r="F178" s="842"/>
      <c r="G178" s="842"/>
      <c r="H178" s="840">
        <f t="shared" ref="H178:N178" si="55">IF(H174-H185+H188+(G172*H170)&lt;=0,H174-H185+H188,((1-H17)*(H174-H185+H188))-(H17*G172*H170))</f>
        <v>0</v>
      </c>
      <c r="I178" s="840">
        <f t="shared" si="55"/>
        <v>0</v>
      </c>
      <c r="J178" s="840">
        <f t="shared" si="55"/>
        <v>0</v>
      </c>
      <c r="K178" s="840">
        <f t="shared" si="55"/>
        <v>0</v>
      </c>
      <c r="L178" s="840">
        <f t="shared" si="55"/>
        <v>0</v>
      </c>
      <c r="M178" s="840">
        <f t="shared" si="55"/>
        <v>0</v>
      </c>
      <c r="N178" s="840">
        <f t="shared" si="55"/>
        <v>0</v>
      </c>
      <c r="O178" s="836" t="s">
        <v>492</v>
      </c>
      <c r="P178" s="805"/>
      <c r="Q178" s="805"/>
      <c r="R178" s="845"/>
      <c r="S178" s="845"/>
      <c r="T178" s="844"/>
    </row>
    <row r="179" spans="1:21" ht="14" hidden="1" customHeight="1" x14ac:dyDescent="0.15">
      <c r="A179" s="846" t="s">
        <v>493</v>
      </c>
      <c r="B179" s="841"/>
      <c r="C179" s="841"/>
      <c r="D179" s="841"/>
      <c r="E179" s="842"/>
      <c r="F179" s="842"/>
      <c r="G179" s="842"/>
      <c r="H179" s="840">
        <f>G97-G98+(Hypo!H57+H175)+(H60-G60)+(H62-G62)+H76+H77+(Hypo!H55*H104/360)+(G79+H156)-H256-SUM(G76:G78)-(H28-G28)-SUM(H44:H46)+SUM(G44:G46)</f>
        <v>184164.62199999997</v>
      </c>
      <c r="I179" s="840">
        <f>H47-H80+(Hypo!I57+I175)+(I60-H60)+(I62-H62)+I76+I77+(Hypo!I55*I104/360)+(H79+I156)-I256-SUM(H76:H78)-(I28-H28)-SUM(I44:I46)+SUM(H44:H46)</f>
        <v>184164.62199999997</v>
      </c>
      <c r="J179" s="840">
        <f>I47-I80+(Hypo!J57+J175)+(J60-I60)+(J62-I62)+J76+J77+(Hypo!J55*J104/360)+(I79+J156)-J256-SUM(I76:I78)-(J28-I28)-SUM(J44:J46)+SUM(I44:I46)</f>
        <v>184164.62199999997</v>
      </c>
      <c r="K179" s="840">
        <f>J47-J80+(Hypo!K57+K175)+(K60-J60)+(K62-J62)+K76+K77+(Hypo!K55*K104/360)+(J79+K156)-K256-SUM(J76:J78)-(K28-J28)-SUM(K44:K46)+SUM(J44:J46)</f>
        <v>184164.62199999997</v>
      </c>
      <c r="L179" s="840">
        <f>K47-K80+(Hypo!L57+L175)+(L60-K60)+(L62-K62)+L76+L77+(Hypo!L55*L104/360)+(K79+L156)-L256-SUM(K76:K78)-(L28-K28)-SUM(L44:L46)+SUM(K44:K46)</f>
        <v>184164.62199999997</v>
      </c>
      <c r="M179" s="840">
        <f>L47-L80+(Hypo!M57+M175)+(M60-L60)+(M62-L62)+M76+M77+(Hypo!M55*M104/360)+(L79+M156)-M256-SUM(L76:L78)-(M28-L28)-SUM(M44:M46)+SUM(L44:L46)</f>
        <v>184164.62199999997</v>
      </c>
      <c r="N179" s="840">
        <f>M47-M80+(Hypo!N57+N175)+(N60-M60)+(N62-M62)+N76+N77+(Hypo!N55*N104/360)+(M79+N156)-N256-SUM(M76:M78)-(N28-M28)-SUM(N44:N46)+SUM(M44:M46)</f>
        <v>184164.62199999997</v>
      </c>
      <c r="O179" s="846" t="s">
        <v>493</v>
      </c>
      <c r="P179" s="805"/>
      <c r="Q179" s="843"/>
      <c r="R179" s="844"/>
      <c r="S179" s="844"/>
      <c r="T179" s="844"/>
    </row>
    <row r="180" spans="1:21" ht="14" hidden="1" customHeight="1" x14ac:dyDescent="0.15">
      <c r="A180" s="846" t="s">
        <v>494</v>
      </c>
      <c r="B180" s="841"/>
      <c r="C180" s="841"/>
      <c r="D180" s="841"/>
      <c r="E180" s="842"/>
      <c r="F180" s="842"/>
      <c r="G180" s="842"/>
      <c r="H180" s="840">
        <f>H179-H175+H176</f>
        <v>184164.62199999997</v>
      </c>
      <c r="I180" s="840">
        <f t="shared" ref="I180:N182" si="56">I179-I175+I176</f>
        <v>184164.62199999997</v>
      </c>
      <c r="J180" s="840">
        <f t="shared" si="56"/>
        <v>184164.62199999997</v>
      </c>
      <c r="K180" s="840">
        <f t="shared" si="56"/>
        <v>184164.62199999997</v>
      </c>
      <c r="L180" s="840">
        <f t="shared" si="56"/>
        <v>184164.62199999997</v>
      </c>
      <c r="M180" s="840">
        <f t="shared" si="56"/>
        <v>184164.62199999997</v>
      </c>
      <c r="N180" s="840">
        <f t="shared" si="56"/>
        <v>184164.62199999997</v>
      </c>
      <c r="O180" s="846" t="s">
        <v>494</v>
      </c>
      <c r="P180" s="805"/>
      <c r="Q180" s="843"/>
      <c r="R180" s="844"/>
      <c r="S180" s="844"/>
      <c r="T180" s="844"/>
    </row>
    <row r="181" spans="1:21" ht="14" hidden="1" customHeight="1" x14ac:dyDescent="0.15">
      <c r="A181" s="846" t="s">
        <v>495</v>
      </c>
      <c r="B181" s="841"/>
      <c r="C181" s="841"/>
      <c r="D181" s="841"/>
      <c r="E181" s="842"/>
      <c r="F181" s="842"/>
      <c r="G181" s="842"/>
      <c r="H181" s="840">
        <f>H180-H176+H177</f>
        <v>184164.62199999997</v>
      </c>
      <c r="I181" s="840">
        <f t="shared" si="56"/>
        <v>184164.62199999997</v>
      </c>
      <c r="J181" s="840">
        <f t="shared" si="56"/>
        <v>184164.62199999997</v>
      </c>
      <c r="K181" s="840">
        <f t="shared" si="56"/>
        <v>184164.62199999997</v>
      </c>
      <c r="L181" s="840">
        <f t="shared" si="56"/>
        <v>184164.62199999997</v>
      </c>
      <c r="M181" s="840">
        <f t="shared" si="56"/>
        <v>184164.62199999997</v>
      </c>
      <c r="N181" s="840">
        <f t="shared" si="56"/>
        <v>184164.62199999997</v>
      </c>
      <c r="O181" s="846" t="s">
        <v>495</v>
      </c>
      <c r="P181" s="805"/>
      <c r="Q181" s="843"/>
      <c r="R181" s="844"/>
      <c r="S181" s="844"/>
      <c r="T181" s="844"/>
    </row>
    <row r="182" spans="1:21" ht="14" hidden="1" customHeight="1" x14ac:dyDescent="0.15">
      <c r="A182" s="846" t="s">
        <v>496</v>
      </c>
      <c r="B182" s="841"/>
      <c r="C182" s="841"/>
      <c r="D182" s="841"/>
      <c r="E182" s="842"/>
      <c r="F182" s="842"/>
      <c r="G182" s="842"/>
      <c r="H182" s="840">
        <f>H181-H177+H178</f>
        <v>184164.62199999997</v>
      </c>
      <c r="I182" s="840">
        <f t="shared" si="56"/>
        <v>184164.62199999997</v>
      </c>
      <c r="J182" s="840">
        <f t="shared" si="56"/>
        <v>184164.62199999997</v>
      </c>
      <c r="K182" s="840">
        <f t="shared" si="56"/>
        <v>184164.62199999997</v>
      </c>
      <c r="L182" s="840">
        <f t="shared" si="56"/>
        <v>184164.62199999997</v>
      </c>
      <c r="M182" s="840">
        <f t="shared" si="56"/>
        <v>184164.62199999997</v>
      </c>
      <c r="N182" s="840">
        <f t="shared" si="56"/>
        <v>184164.62199999997</v>
      </c>
      <c r="O182" s="846" t="s">
        <v>496</v>
      </c>
      <c r="P182" s="805"/>
      <c r="Q182" s="843"/>
      <c r="R182" s="844"/>
      <c r="S182" s="844"/>
      <c r="T182" s="844"/>
    </row>
    <row r="183" spans="1:21" ht="14" hidden="1" customHeight="1" x14ac:dyDescent="0.15">
      <c r="A183" s="846" t="s">
        <v>497</v>
      </c>
      <c r="B183" s="841"/>
      <c r="C183" s="841"/>
      <c r="D183" s="841"/>
      <c r="E183" s="842"/>
      <c r="F183" s="842"/>
      <c r="G183" s="842"/>
      <c r="H183" s="840">
        <f>IF(H179&lt;=0,(((G62+H62)+(G80-H179)+(G89+H89))/2)*Hypo!H39,((G62+H62)+G80+(G89+H89))/2*Hypo!H39)</f>
        <v>0</v>
      </c>
      <c r="I183" s="840">
        <f>IF(I179&lt;=0,(((H62+I62)+(H80-I179)+(H89+I89))/2)*Hypo!I39,((H62+I62)+H80+(H89+I89))/2*Hypo!I39)</f>
        <v>0</v>
      </c>
      <c r="J183" s="840">
        <f>IF(J179&lt;=0,(((I62+J62)+(I80-J179)+(I89+J89))/2)*Hypo!J39,((I62+J62)+I80+(I89+J89))/2*Hypo!J39)</f>
        <v>0</v>
      </c>
      <c r="K183" s="840">
        <f>IF(K179&lt;=0,(((J62+K62)+(J80-K179)+(J89+K89))/2)*Hypo!K39,((J62+K62)+J80+(J89+K89))/2*Hypo!K39)</f>
        <v>0</v>
      </c>
      <c r="L183" s="840">
        <f>IF(L179&lt;=0,(((K62+L62)+(K80-L179)+(K89+L89))/2)*Hypo!L39,((K62+L62)+K80+(K89+L89))/2*Hypo!L39)</f>
        <v>0</v>
      </c>
      <c r="M183" s="840">
        <f>IF(M179&lt;=0,(((L62+M62)+(L80-M179)+(L89+M89))/2)*Hypo!M39,((L62+M62)+L80+(L89+M89))/2*Hypo!M39)</f>
        <v>0</v>
      </c>
      <c r="N183" s="840">
        <f>IF(N179&lt;=0,(((M62+N62)+(M80-N179)+(M89+N89))/2)*Hypo!N39,((M62+N62)+M80+(M89+N89))/2*Hypo!N39)</f>
        <v>0</v>
      </c>
      <c r="O183" s="846" t="s">
        <v>497</v>
      </c>
      <c r="P183" s="805"/>
      <c r="Q183" s="843"/>
      <c r="R183" s="844"/>
      <c r="S183" s="844"/>
      <c r="T183" s="844"/>
    </row>
    <row r="184" spans="1:21" ht="14" hidden="1" customHeight="1" x14ac:dyDescent="0.15">
      <c r="A184" s="846" t="s">
        <v>498</v>
      </c>
      <c r="B184" s="841"/>
      <c r="C184" s="841"/>
      <c r="D184" s="841"/>
      <c r="E184" s="842"/>
      <c r="F184" s="842"/>
      <c r="G184" s="842"/>
      <c r="H184" s="840">
        <f>IF(H180&lt;=0,(((G62+H62)+(G80-H180+H191)+(G89+H89))/2)*Hypo!H39,((G62+H62)+(G80+H191)+(G89+H89))/2*Hypo!H39)</f>
        <v>0</v>
      </c>
      <c r="I184" s="840">
        <f>IF(I180&lt;=0,(((H62+I62)+(H80-I180+I191)+(H89+I89))/2)*Hypo!I39,((H62+I62)+(H80+I191)+(H89+I89))/2*Hypo!I39)</f>
        <v>0</v>
      </c>
      <c r="J184" s="840">
        <f>IF(J180&lt;=0,(((I62+J62)+(I80-J180+J191)+(I89+J89))/2)*Hypo!J39,((I62+J62)+(I80+J191)+(I89+J89))/2*Hypo!J39)</f>
        <v>0</v>
      </c>
      <c r="K184" s="840">
        <f>IF(K180&lt;=0,(((J62+K62)+(J80-K180+K191)+(J89+K89))/2)*Hypo!K39,((J62+K62)+(J80+K191)+(J89+K89))/2*Hypo!K39)</f>
        <v>0</v>
      </c>
      <c r="L184" s="840">
        <f>IF(L180&lt;=0,(((K62+L62)+(K80-L180+L191)+(K89+L89))/2)*Hypo!L39,((K62+L62)+(K80+L191)+(K89+L89))/2*Hypo!L39)</f>
        <v>0</v>
      </c>
      <c r="M184" s="840">
        <f>IF(M180&lt;=0,(((L62+M62)+(L80-M180+M191)+(L89+M89))/2)*Hypo!M39,((L62+M62)+(L80+M191)+(L89+M89))/2*Hypo!M39)</f>
        <v>0</v>
      </c>
      <c r="N184" s="840">
        <f>IF(N180&lt;=0,(((M62+N62)+(M80-N180+N191)+(M89+N89))/2)*Hypo!N39,((M62+N62)+(M80+N191)+(M89+N89))/2*Hypo!N39)</f>
        <v>0</v>
      </c>
      <c r="O184" s="846" t="s">
        <v>498</v>
      </c>
      <c r="P184" s="805"/>
      <c r="Q184" s="843"/>
      <c r="R184" s="844"/>
      <c r="S184" s="844"/>
      <c r="T184" s="844"/>
    </row>
    <row r="185" spans="1:21" ht="14" hidden="1" customHeight="1" x14ac:dyDescent="0.15">
      <c r="A185" s="846" t="s">
        <v>499</v>
      </c>
      <c r="B185" s="841"/>
      <c r="C185" s="841"/>
      <c r="D185" s="841"/>
      <c r="E185" s="842"/>
      <c r="F185" s="842"/>
      <c r="G185" s="842"/>
      <c r="H185" s="840">
        <f>IF(H181&lt;=0,(((G62+H62)+(G80-H181+H194)+(G89+H89))/2)*Hypo!H39,((G62+H62)+(G80+H194)+(G89+H89))/2*Hypo!H39)</f>
        <v>0</v>
      </c>
      <c r="I185" s="840">
        <f>IF(I181&lt;=0,(((H62+I62)+(H80-I181+I194)+(H89+I89))/2)*Hypo!I39,((H62+I62)+(H80+I194)+(H89+I89))/2*Hypo!I39)</f>
        <v>0</v>
      </c>
      <c r="J185" s="840">
        <f>IF(J181&lt;=0,(((I62+J62)+(I80-J181+J194)+(I89+J89))/2)*Hypo!J39,((I62+J62)+(I80+J194)+(I89+J89))/2*Hypo!J39)</f>
        <v>0</v>
      </c>
      <c r="K185" s="840">
        <f>IF(K181&lt;=0,(((J62+K62)+(J80-K181+K194)+(J89+K89))/2)*Hypo!K39,((J62+K62)+(J80+K194)+(J89+K89))/2*Hypo!K39)</f>
        <v>0</v>
      </c>
      <c r="L185" s="840">
        <f>IF(L181&lt;=0,(((K62+L62)+(K80-L181+L194)+(K89+L89))/2)*Hypo!L39,((K62+L62)+(K80+L194)+(K89+L89))/2*Hypo!L39)</f>
        <v>0</v>
      </c>
      <c r="M185" s="840">
        <f>IF(M181&lt;=0,(((L62+M62)+(L80-M181+M194)+(L89+M89))/2)*Hypo!M39,((L62+M62)+(L80+M194)+(L89+M89))/2*Hypo!M39)</f>
        <v>0</v>
      </c>
      <c r="N185" s="840">
        <f>IF(N181&lt;=0,(((M62+N62)+(M80-N181+N194)+(M89+N89))/2)*Hypo!N39,((M62+N62)+(M80+N194)+(M89+N89))/2*Hypo!N39)</f>
        <v>0</v>
      </c>
      <c r="O185" s="846" t="s">
        <v>499</v>
      </c>
      <c r="P185" s="805"/>
      <c r="Q185" s="843"/>
      <c r="R185" s="844"/>
      <c r="S185" s="844"/>
      <c r="T185" s="844"/>
    </row>
    <row r="186" spans="1:21" ht="14" hidden="1" customHeight="1" x14ac:dyDescent="0.15">
      <c r="A186" s="846" t="s">
        <v>500</v>
      </c>
      <c r="B186" s="841"/>
      <c r="C186" s="841"/>
      <c r="D186" s="841"/>
      <c r="E186" s="842"/>
      <c r="F186" s="842"/>
      <c r="G186" s="842"/>
      <c r="H186" s="840">
        <f>IF(H179&gt;0,((G47+H179)/2)*Hypo!H40,G47/2*Hypo!H40)</f>
        <v>0</v>
      </c>
      <c r="I186" s="840">
        <f>IF(I179&gt;0,((H47+I179)/2)*Hypo!I40,H47/2*Hypo!I40)</f>
        <v>0</v>
      </c>
      <c r="J186" s="840">
        <f>IF(J179&gt;0,((I47+J179)/2)*Hypo!J40,I47/2*Hypo!J40)</f>
        <v>0</v>
      </c>
      <c r="K186" s="840">
        <f>IF(K179&gt;0,((J47+K179)/2)*Hypo!K40,J47/2*Hypo!K40)</f>
        <v>0</v>
      </c>
      <c r="L186" s="840">
        <f>IF(L179&gt;0,((K47+L179)/2)*Hypo!L40,K47/2*Hypo!L40)</f>
        <v>0</v>
      </c>
      <c r="M186" s="840">
        <f>IF(M179&gt;0,((L47+M179)/2)*Hypo!M40,L47/2*Hypo!M40)</f>
        <v>0</v>
      </c>
      <c r="N186" s="840">
        <f>IF(N179&gt;0,((M47+N179)/2)*Hypo!N40,M47/2*Hypo!N40)</f>
        <v>0</v>
      </c>
      <c r="O186" s="846" t="s">
        <v>500</v>
      </c>
      <c r="P186" s="805"/>
      <c r="Q186" s="843"/>
      <c r="R186" s="844"/>
      <c r="S186" s="844"/>
      <c r="T186" s="844"/>
    </row>
    <row r="187" spans="1:21" ht="14" hidden="1" customHeight="1" x14ac:dyDescent="0.15">
      <c r="A187" s="846" t="s">
        <v>501</v>
      </c>
      <c r="B187" s="841"/>
      <c r="C187" s="841"/>
      <c r="D187" s="841"/>
      <c r="E187" s="842"/>
      <c r="F187" s="842"/>
      <c r="G187" s="842"/>
      <c r="H187" s="840">
        <f>IF(H180&gt;0,((G47+H180+H191)/2)*Hypo!H40,(G47+H191)/2*Hypo!H40)</f>
        <v>0</v>
      </c>
      <c r="I187" s="840">
        <f>IF(I180&gt;0,((H47+I180+I191)/2)*Hypo!I40,(H47+I191)/2*Hypo!I40)</f>
        <v>0</v>
      </c>
      <c r="J187" s="840">
        <f>IF(J180&gt;0,((I47+J180+J191)/2)*Hypo!J40,(I47+J191)/2*Hypo!J40)</f>
        <v>0</v>
      </c>
      <c r="K187" s="840">
        <f>IF(K180&gt;0,((J47+K180+K191)/2)*Hypo!K40,(J47+K191)/2*Hypo!K40)</f>
        <v>0</v>
      </c>
      <c r="L187" s="840">
        <f>IF(L180&gt;0,((K47+L180+L191)/2)*Hypo!L40,(K47+L191)/2*Hypo!L40)</f>
        <v>0</v>
      </c>
      <c r="M187" s="840">
        <f>IF(M180&gt;0,((L47+M180+M191)/2)*Hypo!M40,(L47+M191)/2*Hypo!M40)</f>
        <v>0</v>
      </c>
      <c r="N187" s="840">
        <f>IF(N180&gt;0,((M47+N180+N191)/2)*Hypo!N40,(M47+N191)/2*Hypo!N40)</f>
        <v>0</v>
      </c>
      <c r="O187" s="846" t="s">
        <v>501</v>
      </c>
      <c r="P187" s="805"/>
      <c r="Q187" s="843"/>
      <c r="R187" s="844"/>
      <c r="S187" s="844"/>
      <c r="T187" s="844"/>
    </row>
    <row r="188" spans="1:21" ht="14" hidden="1" customHeight="1" x14ac:dyDescent="0.15">
      <c r="A188" s="846" t="s">
        <v>503</v>
      </c>
      <c r="B188" s="841"/>
      <c r="C188" s="841"/>
      <c r="D188" s="841"/>
      <c r="E188" s="842"/>
      <c r="F188" s="842"/>
      <c r="G188" s="842"/>
      <c r="H188" s="840">
        <f>IF(H181&gt;0,((G47+H181+H194)/2)*Hypo!H40,(G47+H194)/2*Hypo!H40)</f>
        <v>0</v>
      </c>
      <c r="I188" s="840">
        <f>IF(I181&gt;0,((H47+I181+I194)/2)*Hypo!I40,(H47+I194)/2*Hypo!I40)</f>
        <v>0</v>
      </c>
      <c r="J188" s="840">
        <f>IF(J181&gt;0,((I47+J181+J194)/2)*Hypo!J40,(I47+J194)/2*Hypo!J40)</f>
        <v>0</v>
      </c>
      <c r="K188" s="840">
        <f>IF(K181&gt;0,((J47+K181+K194)/2)*Hypo!K40,(J47+K194)/2*Hypo!K40)</f>
        <v>0</v>
      </c>
      <c r="L188" s="840">
        <f>IF(L181&gt;0,((K47+L181+L194)/2)*Hypo!L40,(K47+L194)/2*Hypo!L40)</f>
        <v>0</v>
      </c>
      <c r="M188" s="840">
        <f>IF(M181&gt;0,((L47+M181+M194)/2)*Hypo!M40,(L47+M194)/2*Hypo!M40)</f>
        <v>0</v>
      </c>
      <c r="N188" s="840">
        <f>IF(N181&gt;0,((M47+N181+N194)/2)*Hypo!N40,(M47+N194)/2*Hypo!N40)</f>
        <v>0</v>
      </c>
      <c r="O188" s="846" t="s">
        <v>503</v>
      </c>
      <c r="P188" s="805"/>
      <c r="Q188" s="843"/>
      <c r="R188" s="847"/>
      <c r="S188" s="844"/>
      <c r="T188" s="844"/>
    </row>
    <row r="189" spans="1:21" ht="14" hidden="1" customHeight="1" x14ac:dyDescent="0.15">
      <c r="A189" s="846" t="s">
        <v>504</v>
      </c>
      <c r="B189" s="841"/>
      <c r="C189" s="841"/>
      <c r="D189" s="841"/>
      <c r="E189" s="842"/>
      <c r="F189" s="842"/>
      <c r="G189" s="842"/>
      <c r="H189" s="848">
        <f>IF(H180&gt;=Hypo!H70,0,1)</f>
        <v>0</v>
      </c>
      <c r="I189" s="848">
        <f>IF(I180&gt;=Hypo!I70,0,1)</f>
        <v>0</v>
      </c>
      <c r="J189" s="848">
        <f>IF(J180&gt;=Hypo!J70,0,1)</f>
        <v>0</v>
      </c>
      <c r="K189" s="848">
        <f>IF(K180&gt;=Hypo!K70,0,1)</f>
        <v>0</v>
      </c>
      <c r="L189" s="848">
        <f>IF(L180&gt;=Hypo!L70,0,1)</f>
        <v>0</v>
      </c>
      <c r="M189" s="848">
        <f>IF(M180&gt;=Hypo!M70,0,1)</f>
        <v>0</v>
      </c>
      <c r="N189" s="848">
        <f>IF(N180&gt;=Hypo!N70,0,1)</f>
        <v>0</v>
      </c>
      <c r="O189" s="846" t="s">
        <v>504</v>
      </c>
      <c r="P189" s="846"/>
      <c r="Q189" s="846"/>
      <c r="R189" s="848"/>
      <c r="S189" s="796"/>
      <c r="T189" s="849"/>
    </row>
    <row r="190" spans="1:21" ht="14" hidden="1" customHeight="1" x14ac:dyDescent="0.15">
      <c r="A190" s="846" t="s">
        <v>505</v>
      </c>
      <c r="B190" s="841"/>
      <c r="C190" s="841"/>
      <c r="D190" s="841"/>
      <c r="E190" s="842"/>
      <c r="F190" s="842"/>
      <c r="G190" s="842"/>
      <c r="H190" s="848">
        <f t="shared" ref="H190:N190" si="57">IF(H180&gt;=0,1,0)</f>
        <v>1</v>
      </c>
      <c r="I190" s="848">
        <f t="shared" si="57"/>
        <v>1</v>
      </c>
      <c r="J190" s="848">
        <f t="shared" si="57"/>
        <v>1</v>
      </c>
      <c r="K190" s="848">
        <f t="shared" si="57"/>
        <v>1</v>
      </c>
      <c r="L190" s="848">
        <f t="shared" si="57"/>
        <v>1</v>
      </c>
      <c r="M190" s="848">
        <f t="shared" si="57"/>
        <v>1</v>
      </c>
      <c r="N190" s="848">
        <f t="shared" si="57"/>
        <v>1</v>
      </c>
      <c r="O190" s="846" t="s">
        <v>505</v>
      </c>
      <c r="P190" s="846"/>
      <c r="Q190" s="846"/>
      <c r="R190" s="848"/>
      <c r="S190" s="805"/>
      <c r="T190" s="843"/>
    </row>
    <row r="191" spans="1:21" ht="14" hidden="1" customHeight="1" x14ac:dyDescent="0.15">
      <c r="A191" s="846" t="s">
        <v>506</v>
      </c>
      <c r="B191" s="841"/>
      <c r="C191" s="841"/>
      <c r="D191" s="841"/>
      <c r="E191" s="842"/>
      <c r="F191" s="842"/>
      <c r="G191" s="842"/>
      <c r="H191" s="850">
        <f>(H189*(Hypo!H70-(H190*H180)))</f>
        <v>0</v>
      </c>
      <c r="I191" s="850">
        <f>(I189*(Hypo!I70-(I190*I180)))</f>
        <v>0</v>
      </c>
      <c r="J191" s="850">
        <f>(J189*(Hypo!J70-(J190*J180)))</f>
        <v>0</v>
      </c>
      <c r="K191" s="850">
        <f>(K189*(Hypo!K70-(K190*K180)))</f>
        <v>0</v>
      </c>
      <c r="L191" s="850">
        <f>(L189*(Hypo!L70-(L190*L180)))</f>
        <v>0</v>
      </c>
      <c r="M191" s="850">
        <f>(M189*(Hypo!M70-(M190*M180)))</f>
        <v>0</v>
      </c>
      <c r="N191" s="850">
        <f>(N189*(Hypo!N70-(N190*N180)))</f>
        <v>0</v>
      </c>
      <c r="O191" s="846" t="s">
        <v>507</v>
      </c>
      <c r="P191" s="846"/>
      <c r="Q191" s="846"/>
      <c r="R191" s="848"/>
      <c r="S191" s="805"/>
      <c r="T191" s="843"/>
      <c r="U191" s="255" t="s">
        <v>133</v>
      </c>
    </row>
    <row r="192" spans="1:21" ht="14" hidden="1" customHeight="1" x14ac:dyDescent="0.15">
      <c r="A192" s="846" t="s">
        <v>508</v>
      </c>
      <c r="B192" s="841"/>
      <c r="C192" s="841"/>
      <c r="D192" s="841"/>
      <c r="E192" s="842"/>
      <c r="F192" s="842"/>
      <c r="G192" s="842"/>
      <c r="H192" s="848">
        <f>IF(H181&gt;=Hypo!H70,0,1)</f>
        <v>0</v>
      </c>
      <c r="I192" s="848">
        <f>IF(I181&gt;=Hypo!I70,0,1)</f>
        <v>0</v>
      </c>
      <c r="J192" s="848">
        <f>IF(J181&gt;=Hypo!J70,0,1)</f>
        <v>0</v>
      </c>
      <c r="K192" s="848">
        <f>IF(K181&gt;=Hypo!K70,0,1)</f>
        <v>0</v>
      </c>
      <c r="L192" s="848">
        <f>IF(L181&gt;=Hypo!L70,0,1)</f>
        <v>0</v>
      </c>
      <c r="M192" s="848">
        <f>IF(M181&gt;=Hypo!M70,0,1)</f>
        <v>0</v>
      </c>
      <c r="N192" s="848">
        <f>IF(N181&gt;=Hypo!N70,0,1)</f>
        <v>0</v>
      </c>
      <c r="O192" s="846" t="s">
        <v>508</v>
      </c>
      <c r="P192" s="805"/>
      <c r="Q192" s="805"/>
      <c r="R192" s="805"/>
      <c r="S192" s="805"/>
      <c r="T192" s="843"/>
    </row>
    <row r="193" spans="1:21" s="527" customFormat="1" ht="14" hidden="1" customHeight="1" x14ac:dyDescent="0.15">
      <c r="A193" s="846" t="s">
        <v>509</v>
      </c>
      <c r="B193" s="851"/>
      <c r="C193" s="851"/>
      <c r="D193" s="851"/>
      <c r="E193" s="469"/>
      <c r="F193" s="469"/>
      <c r="G193" s="469"/>
      <c r="H193" s="852">
        <f>IF(H181&gt;=0,1,0)</f>
        <v>1</v>
      </c>
      <c r="I193" s="852">
        <f t="shared" ref="I193:N193" si="58">IF(I181&gt;=0,1,0)</f>
        <v>1</v>
      </c>
      <c r="J193" s="852">
        <f t="shared" si="58"/>
        <v>1</v>
      </c>
      <c r="K193" s="852">
        <f t="shared" si="58"/>
        <v>1</v>
      </c>
      <c r="L193" s="852">
        <f t="shared" si="58"/>
        <v>1</v>
      </c>
      <c r="M193" s="852">
        <f t="shared" si="58"/>
        <v>1</v>
      </c>
      <c r="N193" s="852">
        <f t="shared" si="58"/>
        <v>1</v>
      </c>
      <c r="O193" s="846" t="s">
        <v>509</v>
      </c>
      <c r="P193" s="851"/>
      <c r="Q193" s="851"/>
      <c r="R193" s="851"/>
      <c r="S193" s="851"/>
      <c r="T193" s="853"/>
    </row>
    <row r="194" spans="1:21" s="527" customFormat="1" ht="14" hidden="1" customHeight="1" x14ac:dyDescent="0.15">
      <c r="A194" s="846" t="s">
        <v>510</v>
      </c>
      <c r="B194" s="851"/>
      <c r="C194" s="851"/>
      <c r="D194" s="851"/>
      <c r="E194" s="469"/>
      <c r="F194" s="469"/>
      <c r="G194" s="469"/>
      <c r="H194" s="854">
        <f>(H192*(Hypo!H70-(H193*H181)))</f>
        <v>0</v>
      </c>
      <c r="I194" s="854">
        <f>(I192*(Hypo!I70-(I193*I181)))</f>
        <v>0</v>
      </c>
      <c r="J194" s="854">
        <f>(J192*(Hypo!J70-(J193*J181)))</f>
        <v>0</v>
      </c>
      <c r="K194" s="854">
        <f>(K192*(Hypo!K70-(K193*K181)))</f>
        <v>0</v>
      </c>
      <c r="L194" s="854">
        <f>(L192*(Hypo!L70-(L193*L181)))</f>
        <v>0</v>
      </c>
      <c r="M194" s="854">
        <f>(M192*(Hypo!M70-(M193*M181)))</f>
        <v>0</v>
      </c>
      <c r="N194" s="854">
        <f>(N192*(Hypo!N70-(N193*N181)))</f>
        <v>0</v>
      </c>
      <c r="O194" s="846" t="s">
        <v>511</v>
      </c>
      <c r="P194" s="851"/>
      <c r="Q194" s="851"/>
      <c r="R194" s="851"/>
      <c r="S194" s="851"/>
      <c r="T194" s="853"/>
      <c r="U194" s="527" t="s">
        <v>133</v>
      </c>
    </row>
    <row r="195" spans="1:21" ht="14" hidden="1" customHeight="1" x14ac:dyDescent="0.15">
      <c r="A195" s="846" t="s">
        <v>512</v>
      </c>
      <c r="B195" s="841"/>
      <c r="C195" s="841"/>
      <c r="D195" s="841"/>
      <c r="E195" s="842"/>
      <c r="F195" s="842"/>
      <c r="G195" s="842"/>
      <c r="H195" s="848">
        <f>IF(H182&gt;=Hypo!H70,0,1)</f>
        <v>0</v>
      </c>
      <c r="I195" s="848">
        <f>IF(I182&gt;=Hypo!I70,0,1)</f>
        <v>0</v>
      </c>
      <c r="J195" s="848">
        <f>IF(J182&gt;=Hypo!J70,0,1)</f>
        <v>0</v>
      </c>
      <c r="K195" s="848">
        <f>IF(K182&gt;=Hypo!K70,0,1)</f>
        <v>0</v>
      </c>
      <c r="L195" s="848">
        <f>IF(L182&gt;=Hypo!L70,0,1)</f>
        <v>0</v>
      </c>
      <c r="M195" s="848">
        <f>IF(M182&gt;=Hypo!M70,0,1)</f>
        <v>0</v>
      </c>
      <c r="N195" s="848">
        <f>IF(N182&gt;=Hypo!N70,0,1)</f>
        <v>0</v>
      </c>
      <c r="O195" s="846" t="s">
        <v>512</v>
      </c>
      <c r="P195" s="846"/>
      <c r="Q195" s="846"/>
      <c r="R195" s="848"/>
      <c r="S195" s="805"/>
      <c r="T195" s="843"/>
    </row>
    <row r="196" spans="1:21" s="527" customFormat="1" ht="14" hidden="1" customHeight="1" x14ac:dyDescent="0.15">
      <c r="A196" s="846" t="s">
        <v>516</v>
      </c>
      <c r="B196" s="851"/>
      <c r="C196" s="851"/>
      <c r="D196" s="851"/>
      <c r="E196" s="469"/>
      <c r="F196" s="469"/>
      <c r="G196" s="469"/>
      <c r="H196" s="852">
        <f>IF(H182&gt;=0,1,0)</f>
        <v>1</v>
      </c>
      <c r="I196" s="852">
        <f t="shared" ref="I196:N196" si="59">IF(I182&gt;=0,1,0)</f>
        <v>1</v>
      </c>
      <c r="J196" s="852">
        <f t="shared" si="59"/>
        <v>1</v>
      </c>
      <c r="K196" s="852">
        <f t="shared" si="59"/>
        <v>1</v>
      </c>
      <c r="L196" s="852">
        <f t="shared" si="59"/>
        <v>1</v>
      </c>
      <c r="M196" s="852">
        <f t="shared" si="59"/>
        <v>1</v>
      </c>
      <c r="N196" s="852">
        <f t="shared" si="59"/>
        <v>1</v>
      </c>
      <c r="O196" s="846" t="s">
        <v>516</v>
      </c>
      <c r="P196" s="851"/>
      <c r="Q196" s="851"/>
      <c r="R196" s="851"/>
      <c r="S196" s="851"/>
      <c r="T196" s="853"/>
    </row>
    <row r="197" spans="1:21" s="527" customFormat="1" ht="14" hidden="1" customHeight="1" x14ac:dyDescent="0.15">
      <c r="A197" s="846" t="s">
        <v>517</v>
      </c>
      <c r="B197" s="841"/>
      <c r="C197" s="841"/>
      <c r="D197" s="841"/>
      <c r="E197" s="842"/>
      <c r="F197" s="842"/>
      <c r="G197" s="842"/>
      <c r="H197" s="850">
        <f>(H195*(Hypo!H70-(H196*H182)))</f>
        <v>0</v>
      </c>
      <c r="I197" s="850">
        <f>(I195*(Hypo!I70-(I196*I182)))</f>
        <v>0</v>
      </c>
      <c r="J197" s="850">
        <f>(J195*(Hypo!J70-(J196*J182)))</f>
        <v>0</v>
      </c>
      <c r="K197" s="850">
        <f>(K195*(Hypo!K70-(K196*K182)))</f>
        <v>0</v>
      </c>
      <c r="L197" s="850">
        <f>(L195*(Hypo!L70-(L196*L182)))</f>
        <v>0</v>
      </c>
      <c r="M197" s="855">
        <f>(M195*(Hypo!M70-(M196*M182)))</f>
        <v>0</v>
      </c>
      <c r="N197" s="850">
        <f>(N195*(Hypo!N70-(N196*N182)))</f>
        <v>0</v>
      </c>
      <c r="O197" s="856" t="s">
        <v>518</v>
      </c>
      <c r="P197" s="856"/>
      <c r="Q197" s="856"/>
      <c r="R197" s="857"/>
      <c r="S197" s="858"/>
      <c r="T197" s="859"/>
      <c r="U197" s="527" t="s">
        <v>133</v>
      </c>
    </row>
    <row r="198" spans="1:21" s="510" customFormat="1" ht="14" customHeight="1" x14ac:dyDescent="0.15">
      <c r="A198" s="526"/>
      <c r="B198" s="526"/>
      <c r="C198" s="523"/>
      <c r="D198" s="523"/>
      <c r="E198" s="523"/>
      <c r="F198" s="523"/>
      <c r="G198" s="523"/>
      <c r="H198" s="523"/>
      <c r="I198" s="523"/>
      <c r="J198" s="526"/>
      <c r="K198" s="526"/>
      <c r="L198" s="526"/>
      <c r="M198" s="860"/>
      <c r="N198" s="861"/>
    </row>
    <row r="199" spans="1:21" ht="14" customHeight="1" x14ac:dyDescent="0.15">
      <c r="E199" s="306"/>
      <c r="F199" s="306"/>
      <c r="G199" s="306"/>
      <c r="H199" s="306"/>
      <c r="I199" s="306"/>
      <c r="M199" s="860"/>
    </row>
    <row r="200" spans="1:21" s="510" customFormat="1" ht="14" customHeight="1" x14ac:dyDescent="0.2">
      <c r="E200" s="618" t="str">
        <f>E25</f>
        <v>Historique</v>
      </c>
      <c r="F200" s="618"/>
      <c r="G200" s="618"/>
      <c r="H200" s="618" t="str">
        <f>H25</f>
        <v>Prévisions</v>
      </c>
      <c r="I200" s="618"/>
      <c r="J200" s="619"/>
      <c r="K200" s="619"/>
      <c r="L200" s="619"/>
      <c r="M200" s="619"/>
      <c r="N200" s="619"/>
    </row>
    <row r="201" spans="1:21" s="510" customFormat="1" ht="14" customHeight="1" x14ac:dyDescent="0.2">
      <c r="A201" s="615" t="s">
        <v>604</v>
      </c>
      <c r="B201" s="716"/>
      <c r="C201" s="717"/>
      <c r="D201" s="717"/>
      <c r="E201" s="321">
        <f>E26</f>
        <v>39783</v>
      </c>
      <c r="F201" s="321">
        <f>F26</f>
        <v>40178</v>
      </c>
      <c r="G201" s="321">
        <f>G26</f>
        <v>40543</v>
      </c>
      <c r="H201" s="321">
        <f>H26</f>
        <v>40909</v>
      </c>
      <c r="I201" s="321">
        <f t="shared" ref="I201:N201" si="60">I26</f>
        <v>41275</v>
      </c>
      <c r="J201" s="321">
        <f t="shared" si="60"/>
        <v>41641</v>
      </c>
      <c r="K201" s="321">
        <f t="shared" si="60"/>
        <v>42007</v>
      </c>
      <c r="L201" s="321">
        <f t="shared" si="60"/>
        <v>42373</v>
      </c>
      <c r="M201" s="321">
        <f t="shared" si="60"/>
        <v>42739</v>
      </c>
      <c r="N201" s="321">
        <f t="shared" si="60"/>
        <v>43105</v>
      </c>
      <c r="O201" s="510" t="s">
        <v>605</v>
      </c>
    </row>
    <row r="202" spans="1:21" s="510" customFormat="1" ht="14" customHeight="1" x14ac:dyDescent="0.15">
      <c r="B202" s="716"/>
      <c r="C202" s="717"/>
      <c r="D202" s="717"/>
      <c r="E202" s="620"/>
      <c r="F202" s="620"/>
      <c r="G202" s="620"/>
      <c r="H202" s="620"/>
      <c r="I202" s="620"/>
      <c r="J202" s="620"/>
      <c r="K202" s="620"/>
      <c r="L202" s="620"/>
      <c r="M202" s="620"/>
      <c r="N202" s="620"/>
    </row>
    <row r="203" spans="1:21" s="510" customFormat="1" ht="14" customHeight="1" x14ac:dyDescent="0.15">
      <c r="A203" s="510" t="s">
        <v>165</v>
      </c>
      <c r="E203" s="376">
        <f t="shared" ref="E203:N203" si="61">E135</f>
        <v>45113.27464999997</v>
      </c>
      <c r="F203" s="377">
        <f t="shared" si="61"/>
        <v>85384.745000000097</v>
      </c>
      <c r="G203" s="621">
        <f t="shared" si="61"/>
        <v>114043.95300000008</v>
      </c>
      <c r="H203" s="607">
        <f t="shared" si="61"/>
        <v>0</v>
      </c>
      <c r="I203" s="607">
        <f t="shared" si="61"/>
        <v>0</v>
      </c>
      <c r="J203" s="607">
        <f t="shared" si="61"/>
        <v>0</v>
      </c>
      <c r="K203" s="607">
        <f t="shared" si="61"/>
        <v>0</v>
      </c>
      <c r="L203" s="607">
        <f t="shared" si="61"/>
        <v>0</v>
      </c>
      <c r="M203" s="607">
        <f t="shared" si="61"/>
        <v>0</v>
      </c>
      <c r="N203" s="607">
        <f t="shared" si="61"/>
        <v>0</v>
      </c>
      <c r="O203" s="510" t="s">
        <v>165</v>
      </c>
      <c r="Q203" s="255"/>
    </row>
    <row r="204" spans="1:21" ht="14" customHeight="1" x14ac:dyDescent="0.15">
      <c r="E204" s="627"/>
      <c r="F204" s="628"/>
      <c r="G204" s="629"/>
      <c r="H204" s="606"/>
      <c r="I204" s="606"/>
      <c r="J204" s="606"/>
      <c r="K204" s="606"/>
      <c r="L204" s="606"/>
      <c r="M204" s="606"/>
      <c r="N204" s="606"/>
    </row>
    <row r="205" spans="1:21" ht="14" customHeight="1" x14ac:dyDescent="0.15">
      <c r="A205" s="255" t="s">
        <v>168</v>
      </c>
      <c r="E205" s="627">
        <f>E149-E151+(1/3*E150)</f>
        <v>7135.5244300000004</v>
      </c>
      <c r="F205" s="628">
        <f>F149-F151+(1/3*F150)</f>
        <v>23322.944333333333</v>
      </c>
      <c r="G205" s="629">
        <f>G149-G151+(1/3*G150)</f>
        <v>53131.535000000003</v>
      </c>
      <c r="H205" s="606">
        <f>H149-H151+(1/3*H150)</f>
        <v>0</v>
      </c>
      <c r="I205" s="606">
        <f t="shared" ref="I205:N205" si="62">I149-I151+(1/3*I150)</f>
        <v>0</v>
      </c>
      <c r="J205" s="606">
        <f t="shared" si="62"/>
        <v>0</v>
      </c>
      <c r="K205" s="606">
        <f t="shared" si="62"/>
        <v>0</v>
      </c>
      <c r="L205" s="606">
        <f t="shared" si="62"/>
        <v>0</v>
      </c>
      <c r="M205" s="606">
        <f t="shared" si="62"/>
        <v>0</v>
      </c>
      <c r="N205" s="606">
        <f t="shared" si="62"/>
        <v>0</v>
      </c>
      <c r="O205" s="255" t="s">
        <v>168</v>
      </c>
      <c r="Q205" s="510"/>
    </row>
    <row r="206" spans="1:21" s="510" customFormat="1" ht="14" customHeight="1" x14ac:dyDescent="0.15">
      <c r="A206" s="255" t="s">
        <v>169</v>
      </c>
      <c r="E206" s="627">
        <f t="shared" ref="E206:N206" si="63">E163</f>
        <v>6127.6695499999996</v>
      </c>
      <c r="F206" s="628">
        <f t="shared" si="63"/>
        <v>6938.5937011200003</v>
      </c>
      <c r="G206" s="629">
        <f t="shared" si="63"/>
        <v>6990.3630000000003</v>
      </c>
      <c r="H206" s="606">
        <f t="shared" si="63"/>
        <v>0</v>
      </c>
      <c r="I206" s="606">
        <f t="shared" si="63"/>
        <v>0</v>
      </c>
      <c r="J206" s="606">
        <f t="shared" si="63"/>
        <v>0</v>
      </c>
      <c r="K206" s="606">
        <f t="shared" si="63"/>
        <v>0</v>
      </c>
      <c r="L206" s="606">
        <f t="shared" si="63"/>
        <v>0</v>
      </c>
      <c r="M206" s="606">
        <f t="shared" si="63"/>
        <v>0</v>
      </c>
      <c r="N206" s="606">
        <f t="shared" si="63"/>
        <v>0</v>
      </c>
      <c r="O206" s="255" t="s">
        <v>169</v>
      </c>
    </row>
    <row r="207" spans="1:21" ht="14" customHeight="1" x14ac:dyDescent="0.15">
      <c r="E207" s="627"/>
      <c r="F207" s="628"/>
      <c r="G207" s="629"/>
      <c r="H207" s="606"/>
      <c r="I207" s="606"/>
      <c r="J207" s="606"/>
      <c r="K207" s="606"/>
      <c r="L207" s="606"/>
      <c r="M207" s="606"/>
      <c r="N207" s="606"/>
    </row>
    <row r="208" spans="1:21" ht="14" customHeight="1" x14ac:dyDescent="0.15">
      <c r="A208" s="510" t="s">
        <v>519</v>
      </c>
      <c r="E208" s="742">
        <f t="shared" ref="E208:N208" si="64">E203-E205-E206</f>
        <v>31850.080669999974</v>
      </c>
      <c r="F208" s="422">
        <f t="shared" si="64"/>
        <v>55123.206965546764</v>
      </c>
      <c r="G208" s="423">
        <f t="shared" si="64"/>
        <v>53922.05500000008</v>
      </c>
      <c r="H208" s="607">
        <f t="shared" si="64"/>
        <v>0</v>
      </c>
      <c r="I208" s="607">
        <f t="shared" si="64"/>
        <v>0</v>
      </c>
      <c r="J208" s="607">
        <f t="shared" si="64"/>
        <v>0</v>
      </c>
      <c r="K208" s="607">
        <f t="shared" si="64"/>
        <v>0</v>
      </c>
      <c r="L208" s="607">
        <f t="shared" si="64"/>
        <v>0</v>
      </c>
      <c r="M208" s="607">
        <f t="shared" si="64"/>
        <v>0</v>
      </c>
      <c r="N208" s="607">
        <f t="shared" si="64"/>
        <v>0</v>
      </c>
      <c r="O208" s="510" t="s">
        <v>519</v>
      </c>
    </row>
    <row r="209" spans="1:22" ht="14" customHeight="1" x14ac:dyDescent="0.15">
      <c r="E209" s="627"/>
      <c r="F209" s="628"/>
      <c r="G209" s="629"/>
      <c r="H209" s="606"/>
      <c r="I209" s="606"/>
      <c r="J209" s="606"/>
      <c r="K209" s="606"/>
      <c r="L209" s="606"/>
      <c r="M209" s="606"/>
      <c r="N209" s="606"/>
    </row>
    <row r="210" spans="1:22" ht="14" customHeight="1" x14ac:dyDescent="0.15">
      <c r="A210" s="862" t="s">
        <v>520</v>
      </c>
      <c r="E210" s="863">
        <f>E211+E212-E213+E214</f>
        <v>64151.467739999964</v>
      </c>
      <c r="F210" s="864">
        <f>F211+F212-F213+F214</f>
        <v>153535.45476000002</v>
      </c>
      <c r="G210" s="865">
        <f>G211+G212-G213+G214</f>
        <v>238176.75199999995</v>
      </c>
      <c r="H210" s="866">
        <f>H211+H212-H213+H214</f>
        <v>-531460.38800000004</v>
      </c>
      <c r="I210" s="866">
        <f t="shared" ref="I210:N210" si="65">(I85+I89)-(H85+H89)</f>
        <v>0</v>
      </c>
      <c r="J210" s="866">
        <f t="shared" si="65"/>
        <v>0</v>
      </c>
      <c r="K210" s="866">
        <f t="shared" si="65"/>
        <v>0</v>
      </c>
      <c r="L210" s="866">
        <f t="shared" si="65"/>
        <v>0</v>
      </c>
      <c r="M210" s="866">
        <f t="shared" si="65"/>
        <v>0</v>
      </c>
      <c r="N210" s="866">
        <f t="shared" si="65"/>
        <v>0</v>
      </c>
      <c r="O210" s="867" t="s">
        <v>520</v>
      </c>
      <c r="P210" s="868"/>
      <c r="Q210" s="868"/>
    </row>
    <row r="211" spans="1:22" ht="14" customHeight="1" x14ac:dyDescent="0.15">
      <c r="A211" s="255" t="s">
        <v>521</v>
      </c>
      <c r="E211" s="623">
        <f>Etatsfin!K49</f>
        <v>154012.02985999995</v>
      </c>
      <c r="F211" s="624">
        <f>Etatsfin!L49</f>
        <v>213034.48414000002</v>
      </c>
      <c r="G211" s="625">
        <f>Etatsfin!M49</f>
        <v>-31121.869000000006</v>
      </c>
      <c r="H211" s="606">
        <f t="shared" ref="H211:N211" si="66">H112</f>
        <v>-444621.93699999998</v>
      </c>
      <c r="I211" s="606">
        <f t="shared" si="66"/>
        <v>0</v>
      </c>
      <c r="J211" s="606">
        <f t="shared" si="66"/>
        <v>0</v>
      </c>
      <c r="K211" s="606">
        <f t="shared" si="66"/>
        <v>0</v>
      </c>
      <c r="L211" s="606">
        <f t="shared" si="66"/>
        <v>0</v>
      </c>
      <c r="M211" s="606">
        <f t="shared" si="66"/>
        <v>0</v>
      </c>
      <c r="N211" s="606">
        <f t="shared" si="66"/>
        <v>0</v>
      </c>
      <c r="O211" s="255" t="s">
        <v>521</v>
      </c>
    </row>
    <row r="212" spans="1:22" ht="14" customHeight="1" x14ac:dyDescent="0.15">
      <c r="A212" s="255" t="s">
        <v>606</v>
      </c>
      <c r="E212" s="623">
        <f>Etatsfin!K50</f>
        <v>-50323.408709999996</v>
      </c>
      <c r="F212" s="624">
        <f>Etatsfin!L50</f>
        <v>60191.985710000001</v>
      </c>
      <c r="G212" s="625">
        <f>Etatsfin!M50</f>
        <v>266121.62</v>
      </c>
      <c r="H212" s="606">
        <f>(H45+H89)-(G45+G89)</f>
        <v>-383709.15600000002</v>
      </c>
      <c r="I212" s="606">
        <f t="shared" ref="I212:N212" si="67">(I45+I89)-(H45+H89)</f>
        <v>0</v>
      </c>
      <c r="J212" s="606">
        <f t="shared" si="67"/>
        <v>0</v>
      </c>
      <c r="K212" s="606">
        <f t="shared" si="67"/>
        <v>0</v>
      </c>
      <c r="L212" s="606">
        <f t="shared" si="67"/>
        <v>0</v>
      </c>
      <c r="M212" s="606">
        <f t="shared" si="67"/>
        <v>0</v>
      </c>
      <c r="N212" s="606">
        <f t="shared" si="67"/>
        <v>0</v>
      </c>
      <c r="O212" s="255" t="s">
        <v>522</v>
      </c>
      <c r="Q212" s="510"/>
    </row>
    <row r="213" spans="1:22" s="510" customFormat="1" ht="14" customHeight="1" x14ac:dyDescent="0.15">
      <c r="A213" s="255" t="s">
        <v>178</v>
      </c>
      <c r="E213" s="623">
        <f>Etatsfin!K51</f>
        <v>136989.13402</v>
      </c>
      <c r="F213" s="628">
        <f>Etatsfin!L51</f>
        <v>-75891.518020000003</v>
      </c>
      <c r="G213" s="629">
        <f>Etatsfin!M51</f>
        <v>201339.30200000003</v>
      </c>
      <c r="H213" s="606">
        <f>H77-G77</f>
        <v>-331432.50400000002</v>
      </c>
      <c r="I213" s="606">
        <f t="shared" ref="I213:N213" si="68">I77-H77</f>
        <v>0</v>
      </c>
      <c r="J213" s="606">
        <f t="shared" si="68"/>
        <v>0</v>
      </c>
      <c r="K213" s="606">
        <f t="shared" si="68"/>
        <v>0</v>
      </c>
      <c r="L213" s="606">
        <f t="shared" si="68"/>
        <v>0</v>
      </c>
      <c r="M213" s="606">
        <f t="shared" si="68"/>
        <v>0</v>
      </c>
      <c r="N213" s="606">
        <f t="shared" si="68"/>
        <v>0</v>
      </c>
      <c r="O213" s="255" t="s">
        <v>178</v>
      </c>
    </row>
    <row r="214" spans="1:22" s="510" customFormat="1" ht="14" customHeight="1" x14ac:dyDescent="0.15">
      <c r="A214" s="255" t="s">
        <v>523</v>
      </c>
      <c r="E214" s="623">
        <f>Etatsfin!K52</f>
        <v>97451.980609999999</v>
      </c>
      <c r="F214" s="624">
        <f>Etatsfin!L52</f>
        <v>-195582.53310999999</v>
      </c>
      <c r="G214" s="625">
        <f>Etatsfin!M52</f>
        <v>204516.30299999999</v>
      </c>
      <c r="H214" s="606">
        <f>(H46-G46)-((H76-G76)+(H78-H79)-(G78-G79))</f>
        <v>-34561.798999999999</v>
      </c>
      <c r="I214" s="606">
        <f t="shared" ref="I214:N214" si="69">(I46-H46)-((I76-H76)+(I78-I79)-(H78-H79))</f>
        <v>0</v>
      </c>
      <c r="J214" s="606">
        <f t="shared" si="69"/>
        <v>0</v>
      </c>
      <c r="K214" s="606">
        <f t="shared" si="69"/>
        <v>0</v>
      </c>
      <c r="L214" s="606">
        <f t="shared" si="69"/>
        <v>0</v>
      </c>
      <c r="M214" s="606">
        <f t="shared" si="69"/>
        <v>0</v>
      </c>
      <c r="N214" s="606">
        <f t="shared" si="69"/>
        <v>0</v>
      </c>
      <c r="O214" s="255" t="s">
        <v>524</v>
      </c>
      <c r="Q214" s="255"/>
    </row>
    <row r="215" spans="1:22" s="510" customFormat="1" ht="14" customHeight="1" x14ac:dyDescent="0.15">
      <c r="A215" s="676"/>
      <c r="B215" s="255"/>
      <c r="C215" s="255"/>
      <c r="D215" s="255"/>
      <c r="E215" s="627"/>
      <c r="F215" s="628"/>
      <c r="G215" s="629"/>
      <c r="H215" s="606"/>
      <c r="I215" s="606"/>
      <c r="J215" s="606"/>
      <c r="K215" s="606"/>
      <c r="L215" s="606"/>
      <c r="M215" s="606"/>
      <c r="N215" s="606"/>
      <c r="O215" s="869"/>
      <c r="Q215" s="255"/>
    </row>
    <row r="216" spans="1:22" s="510" customFormat="1" ht="14" customHeight="1" x14ac:dyDescent="0.15">
      <c r="A216" s="510" t="s">
        <v>183</v>
      </c>
      <c r="B216" s="255"/>
      <c r="C216" s="255"/>
      <c r="D216" s="255"/>
      <c r="E216" s="870">
        <f>E208-E210</f>
        <v>-32301.38706999999</v>
      </c>
      <c r="F216" s="871">
        <f>F208-F210</f>
        <v>-98412.247794453258</v>
      </c>
      <c r="G216" s="872">
        <f>G208-G210</f>
        <v>-184254.69699999987</v>
      </c>
      <c r="H216" s="607">
        <f>H208-H210</f>
        <v>531460.38800000004</v>
      </c>
      <c r="I216" s="607">
        <f t="shared" ref="I216:N216" si="70">I208-I210</f>
        <v>0</v>
      </c>
      <c r="J216" s="607">
        <f t="shared" si="70"/>
        <v>0</v>
      </c>
      <c r="K216" s="607">
        <f t="shared" si="70"/>
        <v>0</v>
      </c>
      <c r="L216" s="607">
        <f t="shared" si="70"/>
        <v>0</v>
      </c>
      <c r="M216" s="607">
        <f t="shared" si="70"/>
        <v>0</v>
      </c>
      <c r="N216" s="607">
        <f t="shared" si="70"/>
        <v>0</v>
      </c>
      <c r="O216" s="510" t="s">
        <v>525</v>
      </c>
      <c r="Q216" s="255"/>
    </row>
    <row r="217" spans="1:22" ht="14" customHeight="1" x14ac:dyDescent="0.15">
      <c r="E217" s="627"/>
      <c r="F217" s="628"/>
      <c r="G217" s="629"/>
      <c r="H217" s="606"/>
      <c r="I217" s="606"/>
      <c r="J217" s="606"/>
      <c r="K217" s="606"/>
      <c r="L217" s="606"/>
      <c r="M217" s="606"/>
      <c r="N217" s="606"/>
      <c r="T217" s="873" t="s">
        <v>526</v>
      </c>
      <c r="U217" s="874"/>
    </row>
    <row r="218" spans="1:22" ht="14" customHeight="1" x14ac:dyDescent="0.15">
      <c r="A218" s="255" t="s">
        <v>181</v>
      </c>
      <c r="E218" s="623">
        <f>Etatsfin!K56</f>
        <v>61434.208020000005</v>
      </c>
      <c r="F218" s="624">
        <f>Etatsfin!L56</f>
        <v>12147.063979999988</v>
      </c>
      <c r="G218" s="625">
        <f>Etatsfin!M56</f>
        <v>26556.550000000057</v>
      </c>
      <c r="H218" s="606">
        <f>Hypo!H44</f>
        <v>0</v>
      </c>
      <c r="I218" s="606">
        <f>Hypo!I44</f>
        <v>0</v>
      </c>
      <c r="J218" s="606">
        <f>Hypo!J44</f>
        <v>0</v>
      </c>
      <c r="K218" s="606">
        <f>Hypo!K44</f>
        <v>0</v>
      </c>
      <c r="L218" s="606">
        <f>Hypo!L44</f>
        <v>0</v>
      </c>
      <c r="M218" s="606">
        <f>Hypo!M44</f>
        <v>0</v>
      </c>
      <c r="N218" s="606">
        <f>Hypo!N44</f>
        <v>0</v>
      </c>
      <c r="O218" s="255" t="s">
        <v>527</v>
      </c>
      <c r="Q218" s="510"/>
      <c r="T218" s="875" t="s">
        <v>528</v>
      </c>
      <c r="U218" s="492"/>
      <c r="V218" s="255" t="s">
        <v>133</v>
      </c>
    </row>
    <row r="219" spans="1:22" ht="14" customHeight="1" x14ac:dyDescent="0.15">
      <c r="A219" s="255" t="s">
        <v>184</v>
      </c>
      <c r="E219" s="623">
        <f>Etatsfin!K57</f>
        <v>0</v>
      </c>
      <c r="F219" s="624">
        <f>Etatsfin!L57</f>
        <v>0</v>
      </c>
      <c r="G219" s="625">
        <f>Etatsfin!M57</f>
        <v>0</v>
      </c>
      <c r="H219" s="559">
        <f>(O22*T234)+(P22*(SUM(H245:H248)-SUMIF(H251:H253,"&lt;0",H251:H253)))</f>
        <v>0</v>
      </c>
      <c r="I219" s="606">
        <f t="shared" ref="I219:N219" si="71">(P22*U234)+(Q22*(SUM(I245:I248)-SUMIF(I251:I253,"&lt;0",I251:I253)))</f>
        <v>0</v>
      </c>
      <c r="J219" s="606">
        <f t="shared" si="71"/>
        <v>0</v>
      </c>
      <c r="K219" s="606">
        <f t="shared" si="71"/>
        <v>0</v>
      </c>
      <c r="L219" s="606">
        <f t="shared" si="71"/>
        <v>0</v>
      </c>
      <c r="M219" s="606">
        <f t="shared" si="71"/>
        <v>0</v>
      </c>
      <c r="N219" s="606">
        <f t="shared" si="71"/>
        <v>0</v>
      </c>
      <c r="Q219" s="510"/>
      <c r="T219" s="875"/>
      <c r="U219" s="249"/>
    </row>
    <row r="220" spans="1:22" ht="14" customHeight="1" x14ac:dyDescent="0.15">
      <c r="A220" s="255" t="s">
        <v>185</v>
      </c>
      <c r="E220" s="623">
        <f>Etatsfin!K58</f>
        <v>0</v>
      </c>
      <c r="F220" s="624">
        <f>Etatsfin!L58</f>
        <v>1480.1046666666666</v>
      </c>
      <c r="G220" s="625">
        <f>Etatsfin!M58</f>
        <v>0</v>
      </c>
      <c r="H220" s="606">
        <f>2/3*H150</f>
        <v>0</v>
      </c>
      <c r="I220" s="606">
        <f t="shared" ref="I220:N220" si="72">2/3*I150</f>
        <v>0</v>
      </c>
      <c r="J220" s="606">
        <f t="shared" si="72"/>
        <v>0</v>
      </c>
      <c r="K220" s="606">
        <f t="shared" si="72"/>
        <v>0</v>
      </c>
      <c r="L220" s="606">
        <f t="shared" si="72"/>
        <v>0</v>
      </c>
      <c r="M220" s="606">
        <f t="shared" si="72"/>
        <v>0</v>
      </c>
      <c r="N220" s="606">
        <f t="shared" si="72"/>
        <v>0</v>
      </c>
      <c r="Q220" s="510"/>
      <c r="T220" s="875"/>
      <c r="U220" s="249"/>
    </row>
    <row r="221" spans="1:22" ht="14" customHeight="1" x14ac:dyDescent="0.15">
      <c r="E221" s="623"/>
      <c r="F221" s="624"/>
      <c r="G221" s="625"/>
      <c r="H221" s="606"/>
      <c r="I221" s="606"/>
      <c r="J221" s="606"/>
      <c r="K221" s="606"/>
      <c r="L221" s="606"/>
      <c r="M221" s="606"/>
      <c r="N221" s="606"/>
      <c r="Q221" s="510"/>
      <c r="T221" s="875"/>
      <c r="U221" s="249"/>
    </row>
    <row r="222" spans="1:22" ht="14" customHeight="1" x14ac:dyDescent="0.15">
      <c r="A222" s="510" t="s">
        <v>307</v>
      </c>
      <c r="E222" s="1180">
        <f>E216-E218-E219-E220</f>
        <v>-93735.595089999988</v>
      </c>
      <c r="F222" s="1179">
        <f t="shared" ref="F222:N222" si="73">F216-F218-F219-F220</f>
        <v>-112039.41644111992</v>
      </c>
      <c r="G222" s="1181">
        <f t="shared" si="73"/>
        <v>-210811.24699999992</v>
      </c>
      <c r="H222" s="607">
        <f t="shared" si="73"/>
        <v>531460.38800000004</v>
      </c>
      <c r="I222" s="607">
        <f t="shared" si="73"/>
        <v>0</v>
      </c>
      <c r="J222" s="607">
        <f t="shared" si="73"/>
        <v>0</v>
      </c>
      <c r="K222" s="607">
        <f t="shared" si="73"/>
        <v>0</v>
      </c>
      <c r="L222" s="607">
        <f t="shared" si="73"/>
        <v>0</v>
      </c>
      <c r="M222" s="607">
        <f t="shared" si="73"/>
        <v>0</v>
      </c>
      <c r="N222" s="607">
        <f t="shared" si="73"/>
        <v>0</v>
      </c>
      <c r="Q222" s="510"/>
      <c r="T222" s="875"/>
      <c r="U222" s="249"/>
    </row>
    <row r="223" spans="1:22" ht="14" customHeight="1" x14ac:dyDescent="0.15">
      <c r="E223" s="623"/>
      <c r="F223" s="624"/>
      <c r="G223" s="625"/>
      <c r="H223" s="606"/>
      <c r="I223" s="606"/>
      <c r="J223" s="606"/>
      <c r="K223" s="606"/>
      <c r="L223" s="606"/>
      <c r="M223" s="606"/>
      <c r="N223" s="606"/>
      <c r="Q223" s="510"/>
      <c r="T223" s="875"/>
      <c r="U223" s="249"/>
    </row>
    <row r="224" spans="1:22" s="510" customFormat="1" ht="14" customHeight="1" x14ac:dyDescent="0.15">
      <c r="A224" s="255" t="s">
        <v>304</v>
      </c>
      <c r="E224" s="623">
        <f>Etatsfin!K64</f>
        <v>-3.5000000207219273E-4</v>
      </c>
      <c r="F224" s="624">
        <f>Etatsfin!L64</f>
        <v>-47277.542649999996</v>
      </c>
      <c r="G224" s="625" t="e">
        <f>Etatsfin!M64</f>
        <v>#REF!</v>
      </c>
      <c r="H224" s="606">
        <f>(O22*T224)+(P22*SUM(H227:H230))</f>
        <v>0</v>
      </c>
      <c r="I224" s="606">
        <f>(O22*Hypo!I58)+(P22*SUM(I227:I230))</f>
        <v>0</v>
      </c>
      <c r="J224" s="606">
        <f>(O22*Hypo!J58)+(P22*SUM(J227:J230))</f>
        <v>0</v>
      </c>
      <c r="K224" s="606">
        <f>(O22*Hypo!K58)+(P22*SUM(K227:K230))</f>
        <v>0</v>
      </c>
      <c r="L224" s="606">
        <f>(O22*Hypo!L58)+(P22*SUM(L227:L230))</f>
        <v>0</v>
      </c>
      <c r="M224" s="606">
        <f>(O22*Hypo!M58)+(P22*SUM(M227:M230))</f>
        <v>0</v>
      </c>
      <c r="N224" s="606">
        <f>(O22*Hypo!N58)+(P22*SUM(N227:N230))</f>
        <v>0</v>
      </c>
      <c r="O224" s="255" t="s">
        <v>304</v>
      </c>
      <c r="P224" s="255"/>
      <c r="T224" s="876">
        <f>IF(OR(Hypo!H58="",Hypo!H58="Choix effectué : saisie détaillée de ce poste sur le Tableau de Flux de PrSept."),0,Hypo!H58)</f>
        <v>0</v>
      </c>
    </row>
    <row r="225" spans="1:21" s="510" customFormat="1" ht="14" hidden="1" customHeight="1" outlineLevel="1" x14ac:dyDescent="0.15">
      <c r="A225" s="255"/>
      <c r="B225" s="323" t="e">
        <f>IF(AND(P22=1,Saisie!F120=0,Saisie!G120=0,Saisie!H120=0,G227=0,G228=0,G229=0,G230=0),"Décomposition historique à saisir car ''Saisie'' semble incomplète...","")</f>
        <v>#REF!</v>
      </c>
      <c r="E225" s="623"/>
      <c r="F225" s="624"/>
      <c r="G225" s="625"/>
      <c r="H225" s="606"/>
      <c r="I225" s="606"/>
      <c r="J225" s="606"/>
      <c r="K225" s="606"/>
      <c r="L225" s="606"/>
      <c r="M225" s="606"/>
      <c r="N225" s="606"/>
      <c r="O225" s="255"/>
      <c r="P225" s="255"/>
      <c r="T225" s="877" t="s">
        <v>529</v>
      </c>
      <c r="U225" s="878"/>
    </row>
    <row r="226" spans="1:21" s="510" customFormat="1" ht="14" hidden="1" customHeight="1" outlineLevel="1" x14ac:dyDescent="0.15">
      <c r="A226" s="585" t="s">
        <v>530</v>
      </c>
      <c r="B226" s="586"/>
      <c r="C226" s="586"/>
      <c r="D226" s="586"/>
      <c r="E226" s="879" t="str">
        <f>IF(O22=1,"",IF(AND((E224-SUM(E227:E230))&gt;=-0.1,(E224-SUM(E227:E230)&lt;=0.1)),"","Erreur !"))</f>
        <v/>
      </c>
      <c r="F226" s="880" t="str">
        <f>IF(O22=1,"",IF(AND((F224-SUM(F227:F230))&gt;=-0.1,(F224-SUM(F227:F230)&lt;=0.1)),"","Erreur !"))</f>
        <v/>
      </c>
      <c r="G226" s="881" t="str">
        <f>IF(O22=1,"",IF(AND((G224-SUM(G227:G230))&gt;=-0.1,(G224-SUM(G227:G230)&lt;=0.1)),"","Erreur !"))</f>
        <v/>
      </c>
      <c r="H226" s="882"/>
      <c r="I226" s="882"/>
      <c r="J226" s="882"/>
      <c r="K226" s="882"/>
      <c r="L226" s="882"/>
      <c r="M226" s="882"/>
      <c r="N226" s="882"/>
      <c r="O226" s="585" t="str">
        <f>A226</f>
        <v xml:space="preserve">Détail de 100% des investissements financiers : </v>
      </c>
      <c r="P226" s="593"/>
      <c r="Q226" s="586"/>
      <c r="T226" s="883">
        <f ca="1">S230-S227+1</f>
        <v>4</v>
      </c>
    </row>
    <row r="227" spans="1:21" s="510" customFormat="1" ht="14" hidden="1" customHeight="1" outlineLevel="1" x14ac:dyDescent="0.15">
      <c r="A227" s="593" t="s">
        <v>531</v>
      </c>
      <c r="B227" s="586"/>
      <c r="C227" s="586"/>
      <c r="D227" s="586"/>
      <c r="E227" s="884">
        <f>Saisie!F18-Saisie!E18+Saisie!F189</f>
        <v>0</v>
      </c>
      <c r="F227" s="885">
        <f>Saisie!G18-Saisie!F18+Saisie!G189</f>
        <v>0</v>
      </c>
      <c r="G227" s="886">
        <f>Saisie!H18-Saisie!G18+Saisie!H189</f>
        <v>0</v>
      </c>
      <c r="H227" s="748"/>
      <c r="I227" s="748"/>
      <c r="J227" s="748"/>
      <c r="K227" s="748"/>
      <c r="L227" s="748"/>
      <c r="M227" s="748"/>
      <c r="N227" s="748"/>
      <c r="O227" s="593" t="str">
        <f>A227</f>
        <v>Variation du Goodwill brut (hors write-off)</v>
      </c>
      <c r="P227" s="593"/>
      <c r="Q227" s="586"/>
      <c r="S227" s="887">
        <f ca="1">CELL("ligne",S227)</f>
        <v>227</v>
      </c>
      <c r="T227" s="883"/>
    </row>
    <row r="228" spans="1:21" s="510" customFormat="1" ht="14" hidden="1" customHeight="1" outlineLevel="1" x14ac:dyDescent="0.15">
      <c r="A228" s="593" t="s">
        <v>532</v>
      </c>
      <c r="B228" s="586"/>
      <c r="C228" s="586"/>
      <c r="D228" s="586"/>
      <c r="E228" s="884">
        <f>Saisie!F34+Saisie!F35-Saisie!E34-Saisie!E35</f>
        <v>0</v>
      </c>
      <c r="F228" s="885">
        <f>Saisie!G34+Saisie!G35-Saisie!F34-Saisie!F35</f>
        <v>421.39299999999997</v>
      </c>
      <c r="G228" s="886">
        <f>Saisie!H34+Saisie!H35-Saisie!G34-Saisie!G35</f>
        <v>-421.39299999999997</v>
      </c>
      <c r="H228" s="748"/>
      <c r="I228" s="748"/>
      <c r="J228" s="748"/>
      <c r="K228" s="748"/>
      <c r="L228" s="748"/>
      <c r="M228" s="748"/>
      <c r="N228" s="748"/>
      <c r="O228" s="593" t="str">
        <f>A228</f>
        <v>Variation des Sociétés apparentées</v>
      </c>
      <c r="P228" s="593"/>
      <c r="Q228" s="586"/>
      <c r="S228" s="883"/>
      <c r="T228" s="883"/>
    </row>
    <row r="229" spans="1:21" s="510" customFormat="1" ht="14" hidden="1" customHeight="1" outlineLevel="1" x14ac:dyDescent="0.15">
      <c r="A229" s="593" t="s">
        <v>607</v>
      </c>
      <c r="B229" s="586"/>
      <c r="C229" s="586"/>
      <c r="D229" s="586"/>
      <c r="E229" s="888">
        <f>(Saisie!F21+Saisie!F22+Saisie!F23+Saisie!F24)-(Saisie!E21+Saisie!E22+Saisie!E23+Saisie!E24)+Saisie!F188</f>
        <v>0</v>
      </c>
      <c r="F229" s="889">
        <f>(Saisie!G21+Saisie!G22+Saisie!G23+Saisie!G24)-(Saisie!F21+Saisie!F22+Saisie!F23+Saisie!F24)+Saisie!G188</f>
        <v>0</v>
      </c>
      <c r="G229" s="890">
        <f>(Saisie!H21+Saisie!H22+Saisie!H23+Saisie!H25)-(Saisie!G21+Saisie!G22+Saisie!G23+Saisie!G24)+Saisie!H188</f>
        <v>1847</v>
      </c>
      <c r="H229" s="748"/>
      <c r="I229" s="748"/>
      <c r="J229" s="748"/>
      <c r="K229" s="748"/>
      <c r="L229" s="748"/>
      <c r="M229" s="748"/>
      <c r="N229" s="748"/>
      <c r="O229" s="593" t="str">
        <f>A229</f>
        <v>Acquisition de titres (de stés non consolidées en intégration globale)</v>
      </c>
      <c r="P229" s="593"/>
      <c r="Q229" s="586"/>
      <c r="S229" s="883"/>
      <c r="T229" s="883"/>
    </row>
    <row r="230" spans="1:21" s="510" customFormat="1" ht="14" hidden="1" customHeight="1" outlineLevel="1" x14ac:dyDescent="0.15">
      <c r="A230" s="601" t="s">
        <v>533</v>
      </c>
      <c r="B230" s="586"/>
      <c r="C230" s="586"/>
      <c r="D230" s="586"/>
      <c r="E230" s="884">
        <f>Saisie!F25+Saisie!F26-Saisie!E25-Saisie!E26</f>
        <v>-3.5000000207219273E-4</v>
      </c>
      <c r="F230" s="885">
        <f>Saisie!G25+Saisie!G26-Saisie!F25-Saisie!F26</f>
        <v>-47698.935649999999</v>
      </c>
      <c r="G230" s="886" t="e">
        <f>Saisie!#REF!+Saisie!H26-Saisie!G25-Saisie!G26</f>
        <v>#REF!</v>
      </c>
      <c r="H230" s="748"/>
      <c r="I230" s="748"/>
      <c r="J230" s="748"/>
      <c r="K230" s="748"/>
      <c r="L230" s="748"/>
      <c r="M230" s="748"/>
      <c r="N230" s="748"/>
      <c r="O230" s="593" t="str">
        <f>A230</f>
        <v>Variation d'autres Immo. Financières</v>
      </c>
      <c r="P230" s="593"/>
      <c r="Q230" s="586"/>
      <c r="S230" s="891">
        <f ca="1">CELL("ligne",S230)</f>
        <v>230</v>
      </c>
      <c r="T230" s="891"/>
    </row>
    <row r="231" spans="1:21" s="510" customFormat="1" ht="14" hidden="1" customHeight="1" outlineLevel="1" x14ac:dyDescent="0.15">
      <c r="A231" s="892" t="str">
        <f ca="1">IF(T226=4,"","Vous avez ajouté (supprimé) une(des) ligne(s) d'investissements financiers dans le Tableau de Flux : il serait donc préférable d'en ajouter (supprimer) autant dans le Bilan, en respectant l'ordre.")</f>
        <v/>
      </c>
      <c r="B231" s="586"/>
      <c r="C231" s="586"/>
      <c r="D231" s="586"/>
      <c r="E231" s="893"/>
      <c r="F231" s="894"/>
      <c r="G231" s="895"/>
      <c r="H231" s="882"/>
      <c r="I231" s="882"/>
      <c r="J231" s="882"/>
      <c r="K231" s="882"/>
      <c r="L231" s="882"/>
      <c r="M231" s="882"/>
      <c r="N231" s="882"/>
      <c r="O231" s="593"/>
      <c r="P231" s="593"/>
      <c r="Q231" s="586"/>
    </row>
    <row r="232" spans="1:21" s="510" customFormat="1" ht="14" customHeight="1" collapsed="1" x14ac:dyDescent="0.15">
      <c r="A232" s="255" t="s">
        <v>608</v>
      </c>
      <c r="E232" s="608">
        <f>Etatsfin!K65</f>
        <v>0</v>
      </c>
      <c r="F232" s="609">
        <f>Etatsfin!L65</f>
        <v>0</v>
      </c>
      <c r="G232" s="610">
        <f>Etatsfin!M65</f>
        <v>0</v>
      </c>
      <c r="H232" s="559">
        <f>Hypo!H59</f>
        <v>0</v>
      </c>
      <c r="I232" s="559">
        <f>Hypo!I59</f>
        <v>0</v>
      </c>
      <c r="J232" s="559">
        <f>Hypo!J59</f>
        <v>0</v>
      </c>
      <c r="K232" s="559">
        <f>Hypo!K59</f>
        <v>0</v>
      </c>
      <c r="L232" s="559">
        <f>Hypo!L59</f>
        <v>0</v>
      </c>
      <c r="M232" s="559">
        <f>Hypo!M59</f>
        <v>0</v>
      </c>
      <c r="N232" s="559">
        <f>Hypo!N59</f>
        <v>0</v>
      </c>
      <c r="O232" s="255" t="s">
        <v>534</v>
      </c>
      <c r="Q232" s="560"/>
    </row>
    <row r="233" spans="1:21" ht="13.5" customHeight="1" x14ac:dyDescent="0.15">
      <c r="A233" s="255" t="s">
        <v>308</v>
      </c>
      <c r="E233" s="627">
        <f>Etatsfin!K66</f>
        <v>30259.74437</v>
      </c>
      <c r="F233" s="628">
        <f>Etatsfin!L66</f>
        <v>-6496.7543700000097</v>
      </c>
      <c r="G233" s="629">
        <f>Etatsfin!M66</f>
        <v>1043.0059999999939</v>
      </c>
      <c r="H233" s="606">
        <f>(O22*(T233-T234))+(P22*(SUM(H239:H242)-SUM(H245:H248)+SUM(H251:H253))+H219)</f>
        <v>0</v>
      </c>
      <c r="I233" s="606">
        <f t="shared" ref="I233:N233" si="74">(P22*(U233-U234))+(Q22*(SUM(I239:I242)-SUM(I245:I248)+SUM(I251:I253))+I219)</f>
        <v>0</v>
      </c>
      <c r="J233" s="606">
        <f t="shared" si="74"/>
        <v>0</v>
      </c>
      <c r="K233" s="606">
        <f t="shared" si="74"/>
        <v>0</v>
      </c>
      <c r="L233" s="606">
        <f t="shared" si="74"/>
        <v>0</v>
      </c>
      <c r="M233" s="606">
        <f t="shared" si="74"/>
        <v>0</v>
      </c>
      <c r="N233" s="606">
        <f t="shared" si="74"/>
        <v>0</v>
      </c>
      <c r="O233" s="255" t="s">
        <v>308</v>
      </c>
      <c r="T233" s="896">
        <f>IF(OR(Hypo!H45="",Hypo!H45="Choix effectué : saisie détaillée de ce poste sur le Tableau de Flux de PrSept."),0,Hypo!H45)</f>
        <v>0</v>
      </c>
    </row>
    <row r="234" spans="1:21" ht="14.25" customHeight="1" x14ac:dyDescent="0.15">
      <c r="A234" s="592"/>
      <c r="B234" s="592"/>
      <c r="C234" s="592"/>
      <c r="D234" s="592"/>
      <c r="E234" s="897"/>
      <c r="F234" s="898"/>
      <c r="G234" s="899"/>
      <c r="H234" s="900"/>
      <c r="I234" s="900"/>
      <c r="J234" s="900"/>
      <c r="K234" s="900"/>
      <c r="L234" s="900"/>
      <c r="M234" s="900"/>
      <c r="N234" s="900"/>
      <c r="O234" s="592" t="s">
        <v>535</v>
      </c>
      <c r="P234" s="592"/>
      <c r="Q234" s="592"/>
      <c r="T234" s="876">
        <f>IF(OR(Hypo!H46="",Hypo!H46="Choix effectué : saisie détaillée de ce poste sur le Tableau de Flux de PrSept."),0,Hypo!H46)</f>
        <v>0</v>
      </c>
    </row>
    <row r="235" spans="1:21" ht="14" hidden="1" customHeight="1" outlineLevel="1" x14ac:dyDescent="0.15">
      <c r="A235" s="592"/>
      <c r="B235" s="592"/>
      <c r="C235" s="592"/>
      <c r="D235" s="592"/>
      <c r="E235" s="901"/>
      <c r="F235" s="902"/>
      <c r="G235" s="903"/>
      <c r="H235" s="904"/>
      <c r="I235" s="904"/>
      <c r="J235" s="904"/>
      <c r="K235" s="904"/>
      <c r="L235" s="904"/>
      <c r="M235" s="904"/>
      <c r="N235" s="904"/>
      <c r="O235" s="592"/>
      <c r="P235" s="592"/>
      <c r="Q235" s="592"/>
      <c r="T235" s="905" t="s">
        <v>526</v>
      </c>
      <c r="U235" s="873"/>
    </row>
    <row r="236" spans="1:21" ht="14" hidden="1" customHeight="1" outlineLevel="1" x14ac:dyDescent="0.15">
      <c r="A236" s="585" t="s">
        <v>536</v>
      </c>
      <c r="B236" s="592"/>
      <c r="C236" s="592"/>
      <c r="D236" s="592"/>
      <c r="E236" s="906" t="str">
        <f>IF(O22=1,"",IF(AND((E233-SUM(E251:E253))&gt;=-0.1,(E233-SUM(E251:E253)&lt;=0.1)),"","Erreur !"))</f>
        <v/>
      </c>
      <c r="F236" s="907" t="str">
        <f>IF(O22=1,"",IF(AND((F233-SUM(F251:F253))&gt;=-0.1,(F233-SUM(F251:F253)&lt;=0.1)),"","Erreur !"))</f>
        <v/>
      </c>
      <c r="G236" s="908" t="str">
        <f>IF(O22=1,"",IF(AND((G233-SUM(G251:G253))&gt;=-0.1,(G233-SUM(G251:G253)&lt;=0.1)),"","Erreur !"))</f>
        <v/>
      </c>
      <c r="H236" s="904"/>
      <c r="I236" s="904"/>
      <c r="J236" s="904"/>
      <c r="K236" s="904"/>
      <c r="L236" s="904"/>
      <c r="M236" s="904"/>
      <c r="N236" s="904"/>
      <c r="O236" s="585" t="str">
        <f>A236</f>
        <v>Détail de 100% des mouvements de DLMT :</v>
      </c>
      <c r="P236" s="592"/>
      <c r="Q236" s="592"/>
      <c r="T236" s="909" t="s">
        <v>529</v>
      </c>
      <c r="U236" s="910"/>
    </row>
    <row r="237" spans="1:21" ht="7" hidden="1" customHeight="1" outlineLevel="1" x14ac:dyDescent="0.15">
      <c r="A237" s="585"/>
      <c r="B237" s="592"/>
      <c r="C237" s="592"/>
      <c r="D237" s="592"/>
      <c r="E237" s="906"/>
      <c r="F237" s="907"/>
      <c r="G237" s="908"/>
      <c r="H237" s="904"/>
      <c r="I237" s="904"/>
      <c r="J237" s="904"/>
      <c r="K237" s="904"/>
      <c r="L237" s="904"/>
      <c r="M237" s="904"/>
      <c r="N237" s="904"/>
      <c r="O237" s="585"/>
      <c r="P237" s="592"/>
      <c r="Q237" s="592"/>
      <c r="T237" s="909"/>
    </row>
    <row r="238" spans="1:21" ht="14" hidden="1" customHeight="1" outlineLevel="1" x14ac:dyDescent="0.15">
      <c r="A238" s="593" t="s">
        <v>537</v>
      </c>
      <c r="B238" s="602" t="str">
        <f ca="1">IF(T238=T244,"",IF(T238&gt;T244,"Il y a trop de postes ''Nouv. empr. LMT'' :  il faut en ajouter autant en ''Remb. des nouv. DLMT'', en respectant le même ordre, et il serait préférable d'en tenir compte dans le Bilan.",""))</f>
        <v/>
      </c>
      <c r="C238" s="592"/>
      <c r="D238" s="592"/>
      <c r="E238" s="906"/>
      <c r="F238" s="907"/>
      <c r="G238" s="908"/>
      <c r="H238" s="904"/>
      <c r="I238" s="904"/>
      <c r="J238" s="904"/>
      <c r="K238" s="904"/>
      <c r="L238" s="904"/>
      <c r="M238" s="904"/>
      <c r="N238" s="904"/>
      <c r="O238" s="585" t="str">
        <f>A238</f>
        <v xml:space="preserve"> Nouveaux Emprunts à LMT :</v>
      </c>
      <c r="P238" s="592"/>
      <c r="Q238" s="592"/>
      <c r="T238" s="911">
        <f ca="1">S242-S239+1</f>
        <v>4</v>
      </c>
    </row>
    <row r="239" spans="1:21" ht="14" hidden="1" customHeight="1" outlineLevel="1" x14ac:dyDescent="0.15">
      <c r="A239" s="736" t="s">
        <v>187</v>
      </c>
      <c r="B239" s="912"/>
      <c r="C239" s="592"/>
      <c r="D239" s="592"/>
      <c r="E239" s="913"/>
      <c r="F239" s="914"/>
      <c r="G239" s="915"/>
      <c r="H239" s="740"/>
      <c r="I239" s="740"/>
      <c r="J239" s="740"/>
      <c r="K239" s="740"/>
      <c r="L239" s="740"/>
      <c r="M239" s="740"/>
      <c r="N239" s="740"/>
      <c r="O239" s="593" t="str">
        <f>A239</f>
        <v>Saisir un nom  ex Dette 1</v>
      </c>
      <c r="P239" s="593"/>
      <c r="Q239" s="593"/>
      <c r="S239" s="916">
        <f ca="1">CELL("ligne",S239)</f>
        <v>239</v>
      </c>
      <c r="T239" s="917"/>
    </row>
    <row r="240" spans="1:21" ht="14" hidden="1" customHeight="1" outlineLevel="1" x14ac:dyDescent="0.15">
      <c r="A240" s="736" t="s">
        <v>188</v>
      </c>
      <c r="B240" s="918"/>
      <c r="C240" s="592"/>
      <c r="D240" s="592"/>
      <c r="E240" s="913"/>
      <c r="F240" s="914"/>
      <c r="G240" s="915"/>
      <c r="H240" s="740"/>
      <c r="I240" s="740"/>
      <c r="J240" s="740"/>
      <c r="K240" s="740"/>
      <c r="L240" s="740"/>
      <c r="M240" s="740"/>
      <c r="N240" s="740"/>
      <c r="O240" s="593" t="str">
        <f>A240</f>
        <v>Saisir un nom  ex Dette 2</v>
      </c>
      <c r="P240" s="593"/>
      <c r="Q240" s="593"/>
      <c r="S240" s="919"/>
      <c r="T240" s="917"/>
    </row>
    <row r="241" spans="1:27" ht="14" hidden="1" customHeight="1" outlineLevel="1" x14ac:dyDescent="0.15">
      <c r="A241" s="736" t="s">
        <v>189</v>
      </c>
      <c r="B241" s="918"/>
      <c r="C241" s="592"/>
      <c r="D241" s="592"/>
      <c r="E241" s="913"/>
      <c r="F241" s="914"/>
      <c r="G241" s="915"/>
      <c r="H241" s="740"/>
      <c r="I241" s="740"/>
      <c r="J241" s="740"/>
      <c r="K241" s="740"/>
      <c r="L241" s="740"/>
      <c r="M241" s="740"/>
      <c r="N241" s="740"/>
      <c r="O241" s="593" t="str">
        <f>A241</f>
        <v>Saisir un nom  ex Dette 3</v>
      </c>
      <c r="P241" s="593"/>
      <c r="Q241" s="593"/>
      <c r="S241" s="919"/>
      <c r="T241" s="883"/>
    </row>
    <row r="242" spans="1:27" ht="14" hidden="1" customHeight="1" outlineLevel="1" x14ac:dyDescent="0.15">
      <c r="A242" s="736" t="s">
        <v>190</v>
      </c>
      <c r="B242" s="918"/>
      <c r="C242" s="592"/>
      <c r="D242" s="592"/>
      <c r="E242" s="913"/>
      <c r="F242" s="914"/>
      <c r="G242" s="915"/>
      <c r="H242" s="740"/>
      <c r="I242" s="740"/>
      <c r="J242" s="740"/>
      <c r="K242" s="740"/>
      <c r="L242" s="740"/>
      <c r="M242" s="740"/>
      <c r="N242" s="740"/>
      <c r="O242" s="593" t="str">
        <f>A242</f>
        <v>Saisir un nom  ex Dette 4</v>
      </c>
      <c r="P242" s="593"/>
      <c r="Q242" s="593"/>
      <c r="S242" s="920">
        <f ca="1">CELL("ligne",S242)</f>
        <v>242</v>
      </c>
      <c r="T242" s="883"/>
    </row>
    <row r="243" spans="1:27" ht="7" hidden="1" customHeight="1" outlineLevel="1" x14ac:dyDescent="0.15">
      <c r="A243" s="593"/>
      <c r="B243" s="918"/>
      <c r="C243" s="592"/>
      <c r="D243" s="592"/>
      <c r="E243" s="921"/>
      <c r="F243" s="882"/>
      <c r="G243" s="922"/>
      <c r="H243" s="882"/>
      <c r="I243" s="882"/>
      <c r="J243" s="882"/>
      <c r="K243" s="882"/>
      <c r="L243" s="882"/>
      <c r="M243" s="882"/>
      <c r="N243" s="882"/>
      <c r="O243" s="585"/>
      <c r="P243" s="593"/>
      <c r="Q243" s="593"/>
      <c r="T243" s="883"/>
    </row>
    <row r="244" spans="1:27" ht="14" hidden="1" customHeight="1" outlineLevel="1" x14ac:dyDescent="0.15">
      <c r="A244" s="593" t="s">
        <v>609</v>
      </c>
      <c r="B244" s="912" t="str">
        <f ca="1">IF(T238=T244,"",IF(T244&gt;T238,"Il y a trop de postes ''Remb. des nouv. DLMT'' : il faut en ajouter autant en ''Nvx empr. à LMT'', en respectant le même ordre, et il serait préférable d'en tenir compte dans le Bilan.",""))</f>
        <v/>
      </c>
      <c r="C244" s="592"/>
      <c r="D244" s="592"/>
      <c r="E244" s="923"/>
      <c r="F244" s="924"/>
      <c r="G244" s="925"/>
      <c r="H244" s="882"/>
      <c r="I244" s="882"/>
      <c r="J244" s="882"/>
      <c r="K244" s="882"/>
      <c r="L244" s="882"/>
      <c r="M244" s="882"/>
      <c r="N244" s="882"/>
      <c r="O244" s="585" t="str">
        <f>A244</f>
        <v xml:space="preserve"> Rembrsmts des nouv. DLMT(listées ci-dessus) :</v>
      </c>
      <c r="P244" s="593"/>
      <c r="Q244" s="593"/>
      <c r="T244" s="883">
        <f ca="1">S248-S245+1</f>
        <v>4</v>
      </c>
    </row>
    <row r="245" spans="1:27" ht="14" hidden="1" customHeight="1" outlineLevel="1" x14ac:dyDescent="0.15">
      <c r="A245" s="593" t="str">
        <f>IF(A239="Saisir un nom","Tel remboursement de DLMT",A239)</f>
        <v>Saisir un nom  ex Dette 1</v>
      </c>
      <c r="B245" s="918"/>
      <c r="C245" s="592"/>
      <c r="D245" s="592"/>
      <c r="E245" s="913"/>
      <c r="F245" s="914"/>
      <c r="G245" s="915"/>
      <c r="H245" s="740"/>
      <c r="I245" s="740"/>
      <c r="J245" s="740"/>
      <c r="K245" s="740"/>
      <c r="L245" s="740"/>
      <c r="M245" s="740"/>
      <c r="N245" s="740"/>
      <c r="O245" s="593" t="str">
        <f>A245</f>
        <v>Saisir un nom  ex Dette 1</v>
      </c>
      <c r="P245" s="593"/>
      <c r="Q245" s="593"/>
      <c r="S245" s="916">
        <f ca="1">CELL("ligne",S245)</f>
        <v>245</v>
      </c>
      <c r="T245" s="926"/>
    </row>
    <row r="246" spans="1:27" ht="14" hidden="1" customHeight="1" outlineLevel="1" x14ac:dyDescent="0.15">
      <c r="A246" s="593" t="str">
        <f>IF(A240="Saisir un nom","Tel remboursement de DLMT",A240)</f>
        <v>Saisir un nom  ex Dette 2</v>
      </c>
      <c r="B246" s="918"/>
      <c r="C246" s="592"/>
      <c r="D246" s="592"/>
      <c r="E246" s="913"/>
      <c r="F246" s="914"/>
      <c r="G246" s="915"/>
      <c r="H246" s="740"/>
      <c r="I246" s="740"/>
      <c r="J246" s="740"/>
      <c r="K246" s="740"/>
      <c r="L246" s="740"/>
      <c r="M246" s="740"/>
      <c r="N246" s="740"/>
      <c r="O246" s="593" t="str">
        <f>A246</f>
        <v>Saisir un nom  ex Dette 2</v>
      </c>
      <c r="P246" s="593"/>
      <c r="Q246" s="593"/>
      <c r="S246" s="919"/>
      <c r="T246" s="927"/>
    </row>
    <row r="247" spans="1:27" ht="14" hidden="1" customHeight="1" outlineLevel="1" x14ac:dyDescent="0.15">
      <c r="A247" s="593" t="str">
        <f>IF(A241="Saisir un nom","Tel remboursement de DLMT",A241)</f>
        <v>Saisir un nom  ex Dette 3</v>
      </c>
      <c r="B247" s="918"/>
      <c r="C247" s="592"/>
      <c r="D247" s="592"/>
      <c r="E247" s="913"/>
      <c r="F247" s="914"/>
      <c r="G247" s="915"/>
      <c r="H247" s="740"/>
      <c r="I247" s="740"/>
      <c r="J247" s="740"/>
      <c r="K247" s="740"/>
      <c r="L247" s="740"/>
      <c r="M247" s="740"/>
      <c r="N247" s="740"/>
      <c r="O247" s="593" t="str">
        <f>A247</f>
        <v>Saisir un nom  ex Dette 3</v>
      </c>
      <c r="P247" s="593"/>
      <c r="Q247" s="593"/>
      <c r="S247" s="919"/>
      <c r="T247" s="927"/>
    </row>
    <row r="248" spans="1:27" ht="14" hidden="1" customHeight="1" outlineLevel="1" x14ac:dyDescent="0.15">
      <c r="A248" s="593" t="str">
        <f>IF(A242="Saisir un nom","Tel remboursement de DLMT",A242)</f>
        <v>Saisir un nom  ex Dette 4</v>
      </c>
      <c r="B248" s="918"/>
      <c r="C248" s="592"/>
      <c r="D248" s="592"/>
      <c r="E248" s="913"/>
      <c r="F248" s="914"/>
      <c r="G248" s="915"/>
      <c r="H248" s="740"/>
      <c r="I248" s="740"/>
      <c r="J248" s="740"/>
      <c r="K248" s="740"/>
      <c r="L248" s="740"/>
      <c r="M248" s="740"/>
      <c r="N248" s="740"/>
      <c r="O248" s="593" t="str">
        <f>A248</f>
        <v>Saisir un nom  ex Dette 4</v>
      </c>
      <c r="P248" s="593"/>
      <c r="Q248" s="593"/>
      <c r="S248" s="920">
        <f ca="1">CELL("ligne",S248)</f>
        <v>248</v>
      </c>
      <c r="T248" s="927"/>
    </row>
    <row r="249" spans="1:27" ht="7" hidden="1" customHeight="1" outlineLevel="1" x14ac:dyDescent="0.15">
      <c r="A249" s="593"/>
      <c r="B249" s="918"/>
      <c r="C249" s="592"/>
      <c r="D249" s="592"/>
      <c r="E249" s="921"/>
      <c r="F249" s="882"/>
      <c r="G249" s="922"/>
      <c r="H249" s="882"/>
      <c r="I249" s="882"/>
      <c r="J249" s="882"/>
      <c r="K249" s="882"/>
      <c r="L249" s="882"/>
      <c r="M249" s="882"/>
      <c r="N249" s="882"/>
      <c r="O249" s="593"/>
      <c r="P249" s="593"/>
      <c r="Q249" s="593"/>
      <c r="T249" s="883"/>
    </row>
    <row r="250" spans="1:27" ht="14" hidden="1" customHeight="1" outlineLevel="1" x14ac:dyDescent="0.15">
      <c r="A250" s="593" t="s">
        <v>539</v>
      </c>
      <c r="B250" s="918"/>
      <c r="C250" s="592"/>
      <c r="D250" s="592"/>
      <c r="E250" s="1204"/>
      <c r="F250" s="928"/>
      <c r="G250" s="929"/>
      <c r="H250" s="928"/>
      <c r="I250" s="928"/>
      <c r="J250" s="882"/>
      <c r="K250" s="882"/>
      <c r="L250" s="882"/>
      <c r="M250" s="882"/>
      <c r="N250" s="882"/>
      <c r="O250" s="585" t="str">
        <f>A250</f>
        <v xml:space="preserve"> Variations d' ''anciennes DLMT'' :</v>
      </c>
      <c r="P250" s="593"/>
      <c r="Q250" s="593"/>
      <c r="T250" s="927">
        <f ca="1">S253-S251+1</f>
        <v>3</v>
      </c>
    </row>
    <row r="251" spans="1:27" ht="14" hidden="1" customHeight="1" outlineLevel="1" x14ac:dyDescent="0.15">
      <c r="A251" s="736" t="s">
        <v>538</v>
      </c>
      <c r="B251" s="918"/>
      <c r="C251" s="592"/>
      <c r="D251" s="592"/>
      <c r="E251" s="747"/>
      <c r="F251" s="748"/>
      <c r="G251" s="749"/>
      <c r="H251" s="748"/>
      <c r="I251" s="748"/>
      <c r="J251" s="748"/>
      <c r="K251" s="748"/>
      <c r="L251" s="748"/>
      <c r="M251" s="748"/>
      <c r="N251" s="748"/>
      <c r="O251" s="593" t="str">
        <f>A251</f>
        <v>Saisir un nom</v>
      </c>
      <c r="P251" s="593"/>
      <c r="Q251" s="593"/>
      <c r="S251" s="916">
        <f ca="1">CELL("ligne",S251)</f>
        <v>251</v>
      </c>
      <c r="T251" s="883"/>
      <c r="U251" s="930"/>
      <c r="V251" s="930"/>
      <c r="W251" s="930"/>
      <c r="X251" s="930"/>
      <c r="Y251" s="930"/>
      <c r="Z251" s="930"/>
      <c r="AA251" s="930"/>
    </row>
    <row r="252" spans="1:27" ht="14" hidden="1" customHeight="1" outlineLevel="1" x14ac:dyDescent="0.15">
      <c r="A252" s="736" t="s">
        <v>538</v>
      </c>
      <c r="B252" s="918"/>
      <c r="C252" s="592"/>
      <c r="D252" s="592"/>
      <c r="E252" s="747"/>
      <c r="F252" s="748"/>
      <c r="G252" s="749"/>
      <c r="H252" s="748"/>
      <c r="I252" s="748"/>
      <c r="J252" s="748"/>
      <c r="K252" s="748"/>
      <c r="L252" s="748"/>
      <c r="M252" s="748"/>
      <c r="N252" s="748"/>
      <c r="O252" s="593" t="str">
        <f>A252</f>
        <v>Saisir un nom</v>
      </c>
      <c r="P252" s="593"/>
      <c r="Q252" s="593"/>
      <c r="S252" s="919"/>
      <c r="T252" s="883"/>
      <c r="U252" s="930"/>
      <c r="V252" s="930"/>
      <c r="W252" s="930"/>
      <c r="X252" s="930"/>
      <c r="Y252" s="930"/>
      <c r="Z252" s="930"/>
      <c r="AA252" s="930"/>
    </row>
    <row r="253" spans="1:27" ht="14" hidden="1" customHeight="1" outlineLevel="1" x14ac:dyDescent="0.15">
      <c r="A253" s="593" t="s">
        <v>540</v>
      </c>
      <c r="B253" s="918"/>
      <c r="C253" s="592"/>
      <c r="D253" s="592"/>
      <c r="E253" s="747"/>
      <c r="F253" s="748"/>
      <c r="G253" s="749"/>
      <c r="H253" s="748"/>
      <c r="I253" s="748"/>
      <c r="J253" s="748"/>
      <c r="K253" s="748"/>
      <c r="L253" s="748"/>
      <c r="M253" s="748"/>
      <c r="N253" s="748"/>
      <c r="O253" s="593" t="str">
        <f>A253</f>
        <v>Autres ''anciennes DLMT''</v>
      </c>
      <c r="P253" s="593"/>
      <c r="Q253" s="593"/>
      <c r="S253" s="920">
        <f ca="1">CELL("ligne",S253)</f>
        <v>253</v>
      </c>
      <c r="T253" s="891"/>
      <c r="U253" s="930"/>
      <c r="V253" s="930"/>
      <c r="W253" s="930"/>
      <c r="X253" s="930"/>
      <c r="Y253" s="930"/>
      <c r="Z253" s="930"/>
      <c r="AA253" s="930"/>
    </row>
    <row r="254" spans="1:27" ht="14.25" hidden="1" customHeight="1" outlineLevel="1" x14ac:dyDescent="0.15">
      <c r="A254" s="593"/>
      <c r="B254" s="592"/>
      <c r="C254" s="592"/>
      <c r="D254" s="592"/>
      <c r="E254" s="901"/>
      <c r="F254" s="902"/>
      <c r="G254" s="903"/>
      <c r="H254" s="904"/>
      <c r="I254" s="904"/>
      <c r="J254" s="904"/>
      <c r="K254" s="904"/>
      <c r="L254" s="904"/>
      <c r="M254" s="904"/>
      <c r="N254" s="904"/>
      <c r="O254" s="592"/>
      <c r="P254" s="592"/>
      <c r="Q254" s="592"/>
    </row>
    <row r="255" spans="1:27" ht="14" customHeight="1" collapsed="1" thickBot="1" x14ac:dyDescent="0.2">
      <c r="A255" s="255" t="s">
        <v>610</v>
      </c>
      <c r="E255" s="627">
        <f>Etatsfin!K67</f>
        <v>152095.38529999999</v>
      </c>
      <c r="F255" s="628">
        <f>Etatsfin!L67</f>
        <v>-21012.50529999999</v>
      </c>
      <c r="G255" s="629">
        <f>Etatsfin!M67</f>
        <v>284031.40599999996</v>
      </c>
      <c r="H255" s="606">
        <f>(H80+H89)-(G80+G89)</f>
        <v>-451915.45899999997</v>
      </c>
      <c r="I255" s="606">
        <f t="shared" ref="I255:N255" si="75">(I80+I89)-(H80+H89)</f>
        <v>0</v>
      </c>
      <c r="J255" s="606">
        <f t="shared" si="75"/>
        <v>0</v>
      </c>
      <c r="K255" s="606">
        <f t="shared" si="75"/>
        <v>0</v>
      </c>
      <c r="L255" s="606">
        <f t="shared" si="75"/>
        <v>0</v>
      </c>
      <c r="M255" s="606">
        <f t="shared" si="75"/>
        <v>0</v>
      </c>
      <c r="N255" s="606">
        <f t="shared" si="75"/>
        <v>0</v>
      </c>
      <c r="O255" s="255" t="s">
        <v>541</v>
      </c>
    </row>
    <row r="256" spans="1:27" ht="14" customHeight="1" thickBot="1" x14ac:dyDescent="0.2">
      <c r="A256" s="255" t="s">
        <v>310</v>
      </c>
      <c r="E256" s="608">
        <f>Etatsfin!K68</f>
        <v>0</v>
      </c>
      <c r="F256" s="609">
        <f>Etatsfin!L68</f>
        <v>0</v>
      </c>
      <c r="G256" s="610">
        <f>Etatsfin!M68</f>
        <v>0</v>
      </c>
      <c r="H256" s="559">
        <f>(G165-G57)-Hypo!G68</f>
        <v>6.000000055792043E-3</v>
      </c>
      <c r="I256" s="931">
        <f>IF(H165&gt;0,H165*Hypo!H42,0)</f>
        <v>0</v>
      </c>
      <c r="J256" s="931">
        <f>IF(I165&gt;0,I165*Hypo!I42,0)</f>
        <v>0</v>
      </c>
      <c r="K256" s="931">
        <f>IF(J165&gt;0,J165*Hypo!J42,0)</f>
        <v>0</v>
      </c>
      <c r="L256" s="931">
        <f>IF(K165&gt;0,K165*Hypo!K42,0)</f>
        <v>0</v>
      </c>
      <c r="M256" s="931">
        <f>IF(L165&gt;0,L165*Hypo!L42,0)</f>
        <v>0</v>
      </c>
      <c r="N256" s="931">
        <f>IF(M165&gt;0,M165*Hypo!M42,0)</f>
        <v>0</v>
      </c>
      <c r="O256" s="255" t="s">
        <v>310</v>
      </c>
      <c r="R256" s="932">
        <f>IF(N165&gt;0,N165*Hypo!N42,0)</f>
        <v>0</v>
      </c>
      <c r="S256" s="933" t="s">
        <v>542</v>
      </c>
      <c r="T256" s="934"/>
      <c r="U256" s="935"/>
    </row>
    <row r="257" spans="1:19" ht="14" customHeight="1" x14ac:dyDescent="0.15">
      <c r="A257" s="255" t="s">
        <v>773</v>
      </c>
      <c r="E257" s="623">
        <f>Etatsfin!K69</f>
        <v>1500.076560000005</v>
      </c>
      <c r="F257" s="624">
        <f>Etatsfin!L69</f>
        <v>-25.002710000004299</v>
      </c>
      <c r="G257" s="625">
        <f>Etatsfin!M69</f>
        <v>2463.1409999999814</v>
      </c>
      <c r="H257" s="606">
        <f>Hypo!H57</f>
        <v>0</v>
      </c>
      <c r="I257" s="606">
        <f>Hypo!I57</f>
        <v>0</v>
      </c>
      <c r="J257" s="606">
        <f>Hypo!J57</f>
        <v>0</v>
      </c>
      <c r="K257" s="606">
        <f>Hypo!K57</f>
        <v>0</v>
      </c>
      <c r="L257" s="606">
        <f>Hypo!L57</f>
        <v>0</v>
      </c>
      <c r="M257" s="606">
        <f>Hypo!M57</f>
        <v>0</v>
      </c>
      <c r="N257" s="606">
        <f>Hypo!N57</f>
        <v>0</v>
      </c>
      <c r="O257" s="255" t="s">
        <v>312</v>
      </c>
    </row>
    <row r="258" spans="1:19" ht="14" customHeight="1" x14ac:dyDescent="0.15">
      <c r="A258" s="255" t="s">
        <v>543</v>
      </c>
      <c r="E258" s="623">
        <f>Etatsfin!K70</f>
        <v>5896.4235400000471</v>
      </c>
      <c r="F258" s="624">
        <f>Etatsfin!L70</f>
        <v>-11395.678560000029</v>
      </c>
      <c r="G258" s="625">
        <f>Etatsfin!M70</f>
        <v>2776.9540000000002</v>
      </c>
      <c r="H258" s="606">
        <f t="shared" ref="H258:N258" si="76">H161</f>
        <v>0</v>
      </c>
      <c r="I258" s="606">
        <f t="shared" si="76"/>
        <v>0</v>
      </c>
      <c r="J258" s="606">
        <f t="shared" si="76"/>
        <v>0</v>
      </c>
      <c r="K258" s="606">
        <f t="shared" si="76"/>
        <v>0</v>
      </c>
      <c r="L258" s="606">
        <f t="shared" si="76"/>
        <v>0</v>
      </c>
      <c r="M258" s="606">
        <f t="shared" si="76"/>
        <v>0</v>
      </c>
      <c r="N258" s="606">
        <f t="shared" si="76"/>
        <v>0</v>
      </c>
      <c r="O258" s="255" t="s">
        <v>544</v>
      </c>
    </row>
    <row r="259" spans="1:19" ht="14" customHeight="1" x14ac:dyDescent="0.15">
      <c r="A259" s="255" t="s">
        <v>317</v>
      </c>
      <c r="E259" s="623">
        <f>Etatsfin!K71</f>
        <v>-1.5000000028521754E-2</v>
      </c>
      <c r="F259" s="624">
        <f>Etatsfin!L71</f>
        <v>-9.2298880059388466E-2</v>
      </c>
      <c r="G259" s="625" t="e">
        <f>Etatsfin!M71</f>
        <v>#REF!</v>
      </c>
      <c r="H259" s="606">
        <f>H261-H258-H257+H256-H255-H233-H232+H224-H222-H219</f>
        <v>0</v>
      </c>
      <c r="I259" s="606">
        <f t="shared" ref="I259:N259" si="77">I261-I258-I257+I256-I255-I233-I232+I224-I222-I219</f>
        <v>0</v>
      </c>
      <c r="J259" s="606">
        <f t="shared" si="77"/>
        <v>0</v>
      </c>
      <c r="K259" s="606">
        <f t="shared" si="77"/>
        <v>0</v>
      </c>
      <c r="L259" s="606">
        <f t="shared" si="77"/>
        <v>0</v>
      </c>
      <c r="M259" s="606">
        <f t="shared" si="77"/>
        <v>0</v>
      </c>
      <c r="N259" s="606">
        <f t="shared" si="77"/>
        <v>0</v>
      </c>
      <c r="O259" s="255" t="s">
        <v>317</v>
      </c>
    </row>
    <row r="260" spans="1:19" ht="14" customHeight="1" x14ac:dyDescent="0.15">
      <c r="E260" s="627"/>
      <c r="F260" s="628"/>
      <c r="G260" s="629"/>
      <c r="H260" s="606"/>
      <c r="I260" s="606"/>
      <c r="J260" s="606"/>
      <c r="K260" s="606"/>
      <c r="L260" s="606"/>
      <c r="M260" s="606"/>
      <c r="N260" s="606"/>
      <c r="Q260" s="510"/>
    </row>
    <row r="261" spans="1:19" s="510" customFormat="1" ht="14" customHeight="1" x14ac:dyDescent="0.15">
      <c r="A261" s="510" t="s">
        <v>319</v>
      </c>
      <c r="E261" s="936">
        <f>Etatsfin!K73</f>
        <v>96016.020030000014</v>
      </c>
      <c r="F261" s="937">
        <f>Etatsfin!L73</f>
        <v>-103691.90703</v>
      </c>
      <c r="G261" s="938">
        <f>Etatsfin!M73</f>
        <v>81891.64499999999</v>
      </c>
      <c r="H261" s="607">
        <f t="shared" ref="H261:N261" si="78">H47-G47</f>
        <v>79544.922999999981</v>
      </c>
      <c r="I261" s="607">
        <f t="shared" si="78"/>
        <v>0</v>
      </c>
      <c r="J261" s="607">
        <f t="shared" si="78"/>
        <v>0</v>
      </c>
      <c r="K261" s="607">
        <f t="shared" si="78"/>
        <v>0</v>
      </c>
      <c r="L261" s="607">
        <f t="shared" si="78"/>
        <v>0</v>
      </c>
      <c r="M261" s="607">
        <f t="shared" si="78"/>
        <v>0</v>
      </c>
      <c r="N261" s="607">
        <f t="shared" si="78"/>
        <v>0</v>
      </c>
      <c r="O261" s="510" t="s">
        <v>319</v>
      </c>
    </row>
    <row r="262" spans="1:19" s="510" customFormat="1" ht="14" customHeight="1" x14ac:dyDescent="0.15">
      <c r="A262" s="323" t="str">
        <f>IF(AND(F262="",G262=""),"","Une(des) variation(s) de liquidités est(sont) incohérente(s) avec le Bilan !")</f>
        <v/>
      </c>
      <c r="B262" s="750"/>
      <c r="C262" s="750"/>
      <c r="D262" s="750"/>
      <c r="E262" s="939"/>
      <c r="F262" s="939" t="str">
        <f>IF(AND((F261-(F47-E47))&gt;=-0.1,(F261-(F47-E47)&lt;=0.1)),"","Erreur ici !")</f>
        <v/>
      </c>
      <c r="G262" s="939" t="str">
        <f>IF(AND((G261-(G47-F47))&gt;=-0.1,(G261-(G47-F47)&lt;=0.1)),"","Erreur là !")</f>
        <v/>
      </c>
      <c r="H262" s="607"/>
      <c r="I262" s="607"/>
      <c r="J262" s="607"/>
      <c r="K262" s="607"/>
      <c r="L262" s="607"/>
      <c r="M262" s="607"/>
      <c r="N262" s="607"/>
    </row>
    <row r="263" spans="1:19" s="707" customFormat="1" ht="14" customHeight="1" x14ac:dyDescent="0.15">
      <c r="A263" s="527"/>
      <c r="B263" s="527"/>
    </row>
    <row r="264" spans="1:19" ht="14" customHeight="1" x14ac:dyDescent="0.15">
      <c r="E264" s="444"/>
      <c r="F264" s="444"/>
      <c r="G264" s="444"/>
      <c r="H264" s="583"/>
      <c r="I264" s="583"/>
      <c r="J264" s="583"/>
      <c r="K264" s="583"/>
      <c r="L264" s="583"/>
      <c r="M264" s="793">
        <f ca="1">NOW()</f>
        <v>46304.722831944448</v>
      </c>
      <c r="N264" s="274" t="s">
        <v>545</v>
      </c>
    </row>
    <row r="265" spans="1:19" ht="14" customHeight="1" x14ac:dyDescent="0.15">
      <c r="A265" s="940"/>
      <c r="B265" s="868"/>
      <c r="C265" s="868"/>
      <c r="D265" s="868"/>
      <c r="E265" s="941"/>
      <c r="F265" s="314"/>
      <c r="G265" s="314"/>
      <c r="H265" s="255"/>
    </row>
    <row r="266" spans="1:19" ht="14" customHeight="1" x14ac:dyDescent="0.15">
      <c r="A266" s="940"/>
      <c r="B266" s="868"/>
      <c r="C266" s="868"/>
      <c r="D266" s="868"/>
      <c r="E266" s="941"/>
      <c r="F266" s="314"/>
      <c r="G266" s="314"/>
      <c r="H266" s="255"/>
    </row>
    <row r="267" spans="1:19" s="510" customFormat="1" ht="14" customHeight="1" x14ac:dyDescent="0.2">
      <c r="A267" s="942"/>
      <c r="B267" s="942"/>
      <c r="C267" s="942"/>
      <c r="D267" s="942"/>
      <c r="E267" s="943" t="str">
        <f>E25</f>
        <v>Historique</v>
      </c>
      <c r="F267" s="944"/>
      <c r="G267" s="618"/>
      <c r="H267" s="945" t="str">
        <f>H25</f>
        <v>Prévisions</v>
      </c>
      <c r="I267" s="619"/>
      <c r="J267" s="619"/>
      <c r="K267" s="946"/>
      <c r="L267" s="619"/>
      <c r="M267" s="619"/>
      <c r="N267" s="619"/>
    </row>
    <row r="268" spans="1:19" s="510" customFormat="1" ht="14" customHeight="1" x14ac:dyDescent="0.2">
      <c r="A268" s="615" t="s">
        <v>611</v>
      </c>
      <c r="E268" s="537">
        <f>E26</f>
        <v>39783</v>
      </c>
      <c r="F268" s="537">
        <f>F26</f>
        <v>40178</v>
      </c>
      <c r="G268" s="537">
        <f>G26</f>
        <v>40543</v>
      </c>
      <c r="H268" s="537">
        <f>H26</f>
        <v>40909</v>
      </c>
      <c r="I268" s="537">
        <f t="shared" ref="I268:N268" si="79">I26</f>
        <v>41275</v>
      </c>
      <c r="J268" s="537">
        <f t="shared" si="79"/>
        <v>41641</v>
      </c>
      <c r="K268" s="537">
        <f t="shared" si="79"/>
        <v>42007</v>
      </c>
      <c r="L268" s="537">
        <f t="shared" si="79"/>
        <v>42373</v>
      </c>
      <c r="M268" s="537">
        <f t="shared" si="79"/>
        <v>42739</v>
      </c>
      <c r="N268" s="537">
        <f t="shared" si="79"/>
        <v>43105</v>
      </c>
      <c r="O268" s="615" t="s">
        <v>612</v>
      </c>
    </row>
    <row r="269" spans="1:19" ht="14" customHeight="1" x14ac:dyDescent="0.15">
      <c r="A269" s="592"/>
      <c r="E269" s="947"/>
      <c r="F269" s="947"/>
      <c r="G269" s="947"/>
      <c r="H269" s="947"/>
      <c r="I269" s="947"/>
      <c r="J269" s="947"/>
      <c r="K269" s="947"/>
      <c r="L269" s="947"/>
      <c r="M269" s="947"/>
      <c r="N269" s="947"/>
      <c r="O269" s="592" t="s">
        <v>613</v>
      </c>
    </row>
    <row r="270" spans="1:19" s="707" customFormat="1" ht="14" customHeight="1" x14ac:dyDescent="0.15">
      <c r="E270" s="948"/>
      <c r="F270" s="948"/>
      <c r="G270" s="948"/>
      <c r="H270" s="948"/>
      <c r="I270" s="948"/>
      <c r="J270" s="948"/>
      <c r="K270" s="948"/>
      <c r="L270" s="948"/>
      <c r="M270" s="948"/>
      <c r="N270" s="948"/>
    </row>
    <row r="271" spans="1:19" s="510" customFormat="1" ht="14" customHeight="1" x14ac:dyDescent="0.15">
      <c r="A271" s="950" t="s">
        <v>191</v>
      </c>
      <c r="B271" s="950"/>
      <c r="C271" s="950"/>
      <c r="D271" s="950"/>
      <c r="E271" s="1182">
        <f t="shared" ref="E271:N271" si="80">E119</f>
        <v>0.10949734762631035</v>
      </c>
      <c r="F271" s="1183">
        <f t="shared" si="80"/>
        <v>0.17789394716998388</v>
      </c>
      <c r="G271" s="1184">
        <f t="shared" si="80"/>
        <v>0.14723784357112629</v>
      </c>
      <c r="H271" s="954">
        <f t="shared" si="80"/>
        <v>0</v>
      </c>
      <c r="I271" s="954">
        <f t="shared" si="80"/>
        <v>0</v>
      </c>
      <c r="J271" s="954">
        <f t="shared" si="80"/>
        <v>0</v>
      </c>
      <c r="K271" s="954">
        <f t="shared" si="80"/>
        <v>0</v>
      </c>
      <c r="L271" s="954">
        <f t="shared" si="80"/>
        <v>0</v>
      </c>
      <c r="M271" s="954">
        <f t="shared" si="80"/>
        <v>0</v>
      </c>
      <c r="N271" s="954">
        <f t="shared" si="80"/>
        <v>0</v>
      </c>
      <c r="O271" s="949" t="s">
        <v>614</v>
      </c>
      <c r="P271" s="949"/>
      <c r="Q271" s="949"/>
      <c r="R271" s="949"/>
      <c r="S271" s="949"/>
    </row>
    <row r="272" spans="1:19" s="510" customFormat="1" ht="14" customHeight="1" x14ac:dyDescent="0.15">
      <c r="A272" s="950" t="s">
        <v>192</v>
      </c>
      <c r="B272" s="950"/>
      <c r="C272" s="950"/>
      <c r="D272" s="950"/>
      <c r="E272" s="951">
        <f t="shared" ref="E272:N272" si="81">E136</f>
        <v>6.2834775360365719E-2</v>
      </c>
      <c r="F272" s="952">
        <f t="shared" si="81"/>
        <v>9.4057213010614732E-2</v>
      </c>
      <c r="G272" s="953">
        <f t="shared" si="81"/>
        <v>7.056281567594351E-2</v>
      </c>
      <c r="H272" s="954">
        <f t="shared" si="81"/>
        <v>0</v>
      </c>
      <c r="I272" s="954">
        <f t="shared" si="81"/>
        <v>0</v>
      </c>
      <c r="J272" s="954">
        <f t="shared" si="81"/>
        <v>0</v>
      </c>
      <c r="K272" s="954">
        <f t="shared" si="81"/>
        <v>0</v>
      </c>
      <c r="L272" s="954">
        <f t="shared" si="81"/>
        <v>0</v>
      </c>
      <c r="M272" s="954">
        <f t="shared" si="81"/>
        <v>0</v>
      </c>
      <c r="N272" s="954">
        <f t="shared" si="81"/>
        <v>0</v>
      </c>
      <c r="O272" s="949" t="s">
        <v>615</v>
      </c>
      <c r="P272" s="949"/>
      <c r="Q272" s="949"/>
      <c r="R272" s="949"/>
      <c r="S272" s="949"/>
    </row>
    <row r="273" spans="1:19" ht="14" customHeight="1" x14ac:dyDescent="0.15">
      <c r="A273" s="950"/>
      <c r="B273" s="950"/>
      <c r="C273" s="950"/>
      <c r="D273" s="950"/>
      <c r="E273" s="951"/>
      <c r="F273" s="952"/>
      <c r="G273" s="953"/>
      <c r="H273" s="954"/>
      <c r="I273" s="954"/>
      <c r="J273" s="954"/>
      <c r="K273" s="954"/>
      <c r="L273" s="954"/>
      <c r="M273" s="954"/>
      <c r="N273" s="954"/>
      <c r="O273" s="950"/>
      <c r="P273" s="950"/>
      <c r="Q273" s="950"/>
      <c r="R273" s="950"/>
      <c r="S273" s="950"/>
    </row>
    <row r="274" spans="1:19" s="510" customFormat="1" ht="14" customHeight="1" x14ac:dyDescent="0.15">
      <c r="A274" s="950" t="s">
        <v>61</v>
      </c>
      <c r="B274" s="950"/>
      <c r="C274" s="950"/>
      <c r="D274" s="950"/>
      <c r="E274" s="951">
        <f t="shared" ref="E274:N274" si="82">E166</f>
        <v>2.5604289623350689E-2</v>
      </c>
      <c r="F274" s="952">
        <f t="shared" si="82"/>
        <v>2.353869425373948E-2</v>
      </c>
      <c r="G274" s="953">
        <f t="shared" si="82"/>
        <v>1.7180167417173847E-2</v>
      </c>
      <c r="H274" s="954">
        <f t="shared" si="82"/>
        <v>0</v>
      </c>
      <c r="I274" s="954">
        <f t="shared" si="82"/>
        <v>0</v>
      </c>
      <c r="J274" s="954">
        <f t="shared" si="82"/>
        <v>0</v>
      </c>
      <c r="K274" s="954">
        <f t="shared" si="82"/>
        <v>0</v>
      </c>
      <c r="L274" s="954">
        <f t="shared" si="82"/>
        <v>0</v>
      </c>
      <c r="M274" s="954">
        <f t="shared" si="82"/>
        <v>0</v>
      </c>
      <c r="N274" s="954">
        <f t="shared" si="82"/>
        <v>0</v>
      </c>
      <c r="O274" s="949" t="s">
        <v>61</v>
      </c>
      <c r="P274" s="949"/>
      <c r="Q274" s="949"/>
      <c r="R274" s="949"/>
      <c r="S274" s="949"/>
    </row>
    <row r="275" spans="1:19" s="510" customFormat="1" ht="14" customHeight="1" x14ac:dyDescent="0.15">
      <c r="A275" s="950" t="s">
        <v>546</v>
      </c>
      <c r="B275" s="950"/>
      <c r="C275" s="950"/>
      <c r="D275" s="950"/>
      <c r="E275" s="663">
        <f>IF(OR(E49=0,R27=0),"n/d ",(E104/R27)/E49)</f>
        <v>1.1082120386031438</v>
      </c>
      <c r="F275" s="664">
        <f>IF(OR(F49=0,S27=0),"n/d ",(F104/S27)/F49)</f>
        <v>1.0785288200425371</v>
      </c>
      <c r="G275" s="665">
        <f>IF(OR(G49=0,T27=0),"n/d ",(G104/T27)/G49)</f>
        <v>1.4578956644284906</v>
      </c>
      <c r="H275" s="960">
        <f>IF(H49=0,"n/d ",H104/H49)</f>
        <v>5.7381060265357977</v>
      </c>
      <c r="I275" s="960">
        <f t="shared" ref="I275:N275" si="83">IF(I49=0,"n/d ",I104/I49)</f>
        <v>5.7381060265357977</v>
      </c>
      <c r="J275" s="960">
        <f t="shared" si="83"/>
        <v>5.7381060265357977</v>
      </c>
      <c r="K275" s="960">
        <f t="shared" si="83"/>
        <v>5.7381060265357977</v>
      </c>
      <c r="L275" s="960">
        <f t="shared" si="83"/>
        <v>5.7381060265357977</v>
      </c>
      <c r="M275" s="960">
        <f t="shared" si="83"/>
        <v>5.7381060265357977</v>
      </c>
      <c r="N275" s="960">
        <f t="shared" si="83"/>
        <v>5.7381060265357977</v>
      </c>
      <c r="O275" s="949" t="s">
        <v>546</v>
      </c>
      <c r="P275" s="949"/>
      <c r="Q275" s="949"/>
      <c r="R275" s="949"/>
      <c r="S275" s="949"/>
    </row>
    <row r="276" spans="1:19" s="510" customFormat="1" ht="14" customHeight="1" x14ac:dyDescent="0.15">
      <c r="A276" s="950" t="s">
        <v>547</v>
      </c>
      <c r="B276" s="950"/>
      <c r="C276" s="950"/>
      <c r="D276" s="950"/>
      <c r="E276" s="627">
        <f>IF(E55=0,"n/d ",E49/E55)</f>
        <v>6.1257613414520522</v>
      </c>
      <c r="F276" s="628">
        <f>IF(F55=0,"n/d ",F49/F55)</f>
        <v>6.1331577158469353</v>
      </c>
      <c r="G276" s="629">
        <f>IF(G55=0,"n/d ",G49/G55)</f>
        <v>7.059085153641572</v>
      </c>
      <c r="H276" s="961">
        <f>IF(H55=0,"n/d ",H49/H55)</f>
        <v>1.7935202996830455</v>
      </c>
      <c r="I276" s="961">
        <f t="shared" ref="I276:N276" si="84">IF(I55=0,"n/d ",I49/I55)</f>
        <v>1.7935202996830455</v>
      </c>
      <c r="J276" s="961">
        <f t="shared" si="84"/>
        <v>1.7935202996830455</v>
      </c>
      <c r="K276" s="961">
        <f t="shared" si="84"/>
        <v>1.7935202996830455</v>
      </c>
      <c r="L276" s="961">
        <f t="shared" si="84"/>
        <v>1.7935202996830455</v>
      </c>
      <c r="M276" s="961">
        <f t="shared" si="84"/>
        <v>1.7935202996830455</v>
      </c>
      <c r="N276" s="961">
        <f t="shared" si="84"/>
        <v>1.7935202996830455</v>
      </c>
      <c r="O276" s="949" t="s">
        <v>547</v>
      </c>
      <c r="P276" s="949"/>
      <c r="Q276" s="949"/>
      <c r="R276" s="949"/>
      <c r="S276" s="949"/>
    </row>
    <row r="277" spans="1:19" s="510" customFormat="1" ht="14" customHeight="1" x14ac:dyDescent="0.15">
      <c r="A277" s="950" t="s">
        <v>62</v>
      </c>
      <c r="B277" s="950"/>
      <c r="C277" s="950"/>
      <c r="D277" s="950"/>
      <c r="E277" s="951">
        <f>IF(OR(E55=0,R27=0),"n/d ",(E165/R27)/E55)</f>
        <v>0.17381836780293078</v>
      </c>
      <c r="F277" s="952">
        <f>IF(OR(F55=0,S27=0),"n/d ",(F165/S27)/F55)</f>
        <v>0.1557034570888928</v>
      </c>
      <c r="G277" s="953">
        <f>IF(OR(G55=0,T27=0),"n/d ",(G165/T27)/G55)</f>
        <v>0.17680814057951025</v>
      </c>
      <c r="H277" s="954">
        <f t="shared" ref="H277:N277" si="85">IF(H55=0,"n/d ",H165/H55)</f>
        <v>0</v>
      </c>
      <c r="I277" s="954">
        <f t="shared" si="85"/>
        <v>0</v>
      </c>
      <c r="J277" s="954">
        <f t="shared" si="85"/>
        <v>0</v>
      </c>
      <c r="K277" s="954">
        <f t="shared" si="85"/>
        <v>0</v>
      </c>
      <c r="L277" s="954">
        <f t="shared" si="85"/>
        <v>0</v>
      </c>
      <c r="M277" s="954">
        <f t="shared" si="85"/>
        <v>0</v>
      </c>
      <c r="N277" s="954">
        <f t="shared" si="85"/>
        <v>0</v>
      </c>
      <c r="O277" s="949" t="s">
        <v>62</v>
      </c>
      <c r="P277" s="949"/>
      <c r="Q277" s="949"/>
      <c r="R277" s="949"/>
      <c r="S277" s="949"/>
    </row>
    <row r="278" spans="1:19" ht="14" customHeight="1" x14ac:dyDescent="0.15">
      <c r="A278" s="950" t="s">
        <v>63</v>
      </c>
      <c r="B278" s="950"/>
      <c r="C278" s="950"/>
      <c r="D278" s="950"/>
      <c r="E278" s="951">
        <f>IF(OR(E49=0,R27=0),"n/d ",(E165/R27)/E49)</f>
        <v>2.8374982000478787E-2</v>
      </c>
      <c r="F278" s="952">
        <f>IF(OR(F49=0,S27=0),"n/d ",(F165/S27)/F49)</f>
        <v>2.5387160138827691E-2</v>
      </c>
      <c r="G278" s="953">
        <f>IF(OR(G49=0,T27=0),"n/d ",(G165/T27)/G49)</f>
        <v>2.5046891591653374E-2</v>
      </c>
      <c r="H278" s="954">
        <f t="shared" ref="H278:N278" si="86">IF(H49=0,"n/d ",H165/H49)</f>
        <v>0</v>
      </c>
      <c r="I278" s="954">
        <f t="shared" si="86"/>
        <v>0</v>
      </c>
      <c r="J278" s="954">
        <f t="shared" si="86"/>
        <v>0</v>
      </c>
      <c r="K278" s="954">
        <f t="shared" si="86"/>
        <v>0</v>
      </c>
      <c r="L278" s="954">
        <f t="shared" si="86"/>
        <v>0</v>
      </c>
      <c r="M278" s="954">
        <f t="shared" si="86"/>
        <v>0</v>
      </c>
      <c r="N278" s="954">
        <f t="shared" si="86"/>
        <v>0</v>
      </c>
      <c r="O278" s="950" t="s">
        <v>63</v>
      </c>
      <c r="P278" s="950"/>
      <c r="Q278" s="950"/>
      <c r="R278" s="950"/>
      <c r="S278" s="950"/>
    </row>
    <row r="279" spans="1:19" ht="14" customHeight="1" x14ac:dyDescent="0.15">
      <c r="A279" s="950"/>
      <c r="B279" s="950"/>
      <c r="C279" s="950"/>
      <c r="D279" s="950"/>
      <c r="E279" s="951"/>
      <c r="F279" s="952"/>
      <c r="G279" s="953"/>
      <c r="H279" s="954"/>
      <c r="I279" s="954"/>
      <c r="J279" s="954"/>
      <c r="K279" s="954"/>
      <c r="L279" s="954"/>
      <c r="M279" s="954"/>
      <c r="N279" s="954"/>
      <c r="O279" s="950"/>
      <c r="P279" s="950"/>
      <c r="Q279" s="950"/>
      <c r="R279" s="950"/>
      <c r="S279" s="950"/>
    </row>
    <row r="280" spans="1:19" s="510" customFormat="1" ht="14" customHeight="1" x14ac:dyDescent="0.15">
      <c r="A280" s="950" t="s">
        <v>66</v>
      </c>
      <c r="B280" s="950"/>
      <c r="C280" s="950"/>
      <c r="D280" s="950"/>
      <c r="E280" s="951">
        <f>IF(E104=0,"n/d ",(E149-E151+(E150/3))/E104)</f>
        <v>9.9385176118544517E-3</v>
      </c>
      <c r="F280" s="952">
        <f>IF(F104=0,"n/d ",(F149-F151+(F150/3))/F104)</f>
        <v>2.5691839252960709E-2</v>
      </c>
      <c r="G280" s="953">
        <f>IF(G104=0,"n/d ",(G149-G151+(G150/3))/G104)</f>
        <v>3.2874261301560972E-2</v>
      </c>
      <c r="H280" s="954">
        <f t="shared" ref="H280:N280" si="87">IF(H104=0,"n/d ",(H149-H151+(H150/3))/H104)</f>
        <v>0</v>
      </c>
      <c r="I280" s="954">
        <f t="shared" si="87"/>
        <v>0</v>
      </c>
      <c r="J280" s="954">
        <f t="shared" si="87"/>
        <v>0</v>
      </c>
      <c r="K280" s="954">
        <f t="shared" si="87"/>
        <v>0</v>
      </c>
      <c r="L280" s="954">
        <f t="shared" si="87"/>
        <v>0</v>
      </c>
      <c r="M280" s="954">
        <f t="shared" si="87"/>
        <v>0</v>
      </c>
      <c r="N280" s="954">
        <f t="shared" si="87"/>
        <v>0</v>
      </c>
      <c r="O280" s="949" t="s">
        <v>66</v>
      </c>
      <c r="P280" s="949"/>
      <c r="Q280" s="949"/>
      <c r="R280" s="949"/>
      <c r="S280" s="949"/>
    </row>
    <row r="281" spans="1:19" s="510" customFormat="1" ht="14" customHeight="1" x14ac:dyDescent="0.15">
      <c r="A281" s="950" t="s">
        <v>548</v>
      </c>
      <c r="B281" s="950"/>
      <c r="C281" s="950"/>
      <c r="D281" s="950"/>
      <c r="E281" s="951">
        <f>IF((E149-E151+(E150/3))=0,"n/d ",E135/(E149-E151+(E150/3)))</f>
        <v>6.3223488466144833</v>
      </c>
      <c r="F281" s="952">
        <f>IF((F149-F151+(F150/3))=0,"n/d ",F135/(F149-F151+(F150/3)))</f>
        <v>3.6609762378057713</v>
      </c>
      <c r="G281" s="953">
        <f>IF((G149-G151+(G150/3))=0,"n/d ",G135/(G149-G151+(G150/3)))</f>
        <v>2.1464456654602597</v>
      </c>
      <c r="H281" s="954" t="str">
        <f t="shared" ref="H281:N281" si="88">IF((H149-H151+(H150/3))=0,"n/d ",H135/(H149-H151+(H150/3)))</f>
        <v xml:space="preserve">n/d </v>
      </c>
      <c r="I281" s="954" t="str">
        <f t="shared" si="88"/>
        <v xml:space="preserve">n/d </v>
      </c>
      <c r="J281" s="954" t="str">
        <f t="shared" si="88"/>
        <v xml:space="preserve">n/d </v>
      </c>
      <c r="K281" s="954" t="str">
        <f t="shared" si="88"/>
        <v xml:space="preserve">n/d </v>
      </c>
      <c r="L281" s="954" t="str">
        <f t="shared" si="88"/>
        <v xml:space="preserve">n/d </v>
      </c>
      <c r="M281" s="954" t="str">
        <f t="shared" si="88"/>
        <v xml:space="preserve">n/d </v>
      </c>
      <c r="N281" s="954" t="str">
        <f t="shared" si="88"/>
        <v xml:space="preserve">n/d </v>
      </c>
      <c r="O281" s="949" t="s">
        <v>548</v>
      </c>
      <c r="P281" s="949"/>
      <c r="Q281" s="949"/>
      <c r="R281" s="949"/>
      <c r="S281" s="949"/>
    </row>
    <row r="282" spans="1:19" ht="14" customHeight="1" x14ac:dyDescent="0.15">
      <c r="A282" s="950" t="s">
        <v>71</v>
      </c>
      <c r="B282" s="950"/>
      <c r="C282" s="950"/>
      <c r="D282" s="950"/>
      <c r="E282" s="951">
        <f t="shared" ref="E282:N282" si="89">IF((E149-E151+(E150/3))=0,"n/d ",(E135-E218)/(E149-E151+(E150/3)))</f>
        <v>-2.2872787459575741</v>
      </c>
      <c r="F282" s="952">
        <f t="shared" si="89"/>
        <v>3.1401558899803335</v>
      </c>
      <c r="G282" s="953">
        <f t="shared" si="89"/>
        <v>1.6466191500019718</v>
      </c>
      <c r="H282" s="954" t="str">
        <f t="shared" si="89"/>
        <v xml:space="preserve">n/d </v>
      </c>
      <c r="I282" s="954" t="str">
        <f t="shared" si="89"/>
        <v xml:space="preserve">n/d </v>
      </c>
      <c r="J282" s="954" t="str">
        <f t="shared" si="89"/>
        <v xml:space="preserve">n/d </v>
      </c>
      <c r="K282" s="954" t="str">
        <f t="shared" si="89"/>
        <v xml:space="preserve">n/d </v>
      </c>
      <c r="L282" s="954" t="str">
        <f t="shared" si="89"/>
        <v xml:space="preserve">n/d </v>
      </c>
      <c r="M282" s="954" t="str">
        <f t="shared" si="89"/>
        <v xml:space="preserve">n/d </v>
      </c>
      <c r="N282" s="954" t="str">
        <f t="shared" si="89"/>
        <v xml:space="preserve">n/d </v>
      </c>
      <c r="O282" s="950" t="s">
        <v>71</v>
      </c>
      <c r="P282" s="950"/>
      <c r="Q282" s="950"/>
      <c r="R282" s="950"/>
      <c r="S282" s="950"/>
    </row>
    <row r="283" spans="1:19" ht="14" customHeight="1" x14ac:dyDescent="0.15">
      <c r="A283" s="323" t="str">
        <f>IF(A155="",""," ''Etatsfin'' semble incomplète pour la 1ère des 4 années ! Attention aux 2 lignes ci-dessous pour l'année ''E'' ! Saisie manuelle recommandée.")</f>
        <v/>
      </c>
      <c r="B283" s="950"/>
      <c r="C283" s="950"/>
      <c r="D283" s="950"/>
      <c r="E283" s="951"/>
      <c r="F283" s="952"/>
      <c r="G283" s="953"/>
      <c r="H283" s="954"/>
      <c r="I283" s="954"/>
      <c r="J283" s="954"/>
      <c r="K283" s="954"/>
      <c r="L283" s="954"/>
      <c r="M283" s="954"/>
      <c r="N283" s="954"/>
      <c r="O283" s="950"/>
      <c r="P283" s="950"/>
      <c r="Q283" s="950"/>
      <c r="R283" s="950"/>
      <c r="S283" s="950"/>
    </row>
    <row r="284" spans="1:19" ht="14" customHeight="1" x14ac:dyDescent="0.15">
      <c r="A284" s="950" t="s">
        <v>80</v>
      </c>
      <c r="B284" s="950"/>
      <c r="C284" s="950"/>
      <c r="D284" s="950"/>
      <c r="E284" s="955" t="str">
        <f>IF(OR(E149+Etatsfin!J20+E150=0,Etatsfin!J20=0,R27&gt;1.003,R27&lt;1),"n/d ",(E135-E218)/(E149+Etatsfin!J20+E150))</f>
        <v xml:space="preserve">n/d </v>
      </c>
      <c r="F284" s="956" t="str">
        <f>IF(OR(F149+Etatsfin!K20+F150=0,Etatsfin!K20=0,S27&gt;1.003,S27&lt;1),"n/d ",(F135-F218)/(F149+Etatsfin!K20+F150))</f>
        <v xml:space="preserve">n/d </v>
      </c>
      <c r="G284" s="957" t="str">
        <f>IF(OR(G149+Etatsfin!L20+G150=0,Etatsfin!L20=0,T27&gt;1.003,T27&lt;1),"n/d ",(G135-G218)/(G149+Etatsfin!L20+G150))</f>
        <v xml:space="preserve">n/d </v>
      </c>
      <c r="H284" s="954" t="str">
        <f>IF((H149+H150+H219)=0,"n/d ",(H135-H218)/(H149+H150+H219))</f>
        <v xml:space="preserve">n/d </v>
      </c>
      <c r="I284" s="954" t="str">
        <f t="shared" ref="I284:N284" si="90">IF((I149+I150+I234)=0,"n/d ",(I135-I218)/(I149+I150+I234))</f>
        <v xml:space="preserve">n/d </v>
      </c>
      <c r="J284" s="954" t="str">
        <f t="shared" si="90"/>
        <v xml:space="preserve">n/d </v>
      </c>
      <c r="K284" s="954" t="str">
        <f t="shared" si="90"/>
        <v xml:space="preserve">n/d </v>
      </c>
      <c r="L284" s="954" t="str">
        <f t="shared" si="90"/>
        <v xml:space="preserve">n/d </v>
      </c>
      <c r="M284" s="954" t="str">
        <f t="shared" si="90"/>
        <v xml:space="preserve">n/d </v>
      </c>
      <c r="N284" s="954" t="str">
        <f t="shared" si="90"/>
        <v xml:space="preserve">n/d </v>
      </c>
      <c r="O284" s="950" t="s">
        <v>80</v>
      </c>
      <c r="P284" s="950"/>
      <c r="Q284" s="950"/>
      <c r="R284" s="950"/>
      <c r="S284" s="950"/>
    </row>
    <row r="285" spans="1:19" s="700" customFormat="1" ht="14" customHeight="1" x14ac:dyDescent="0.15">
      <c r="A285" s="958" t="s">
        <v>616</v>
      </c>
      <c r="B285" s="959"/>
      <c r="C285" s="959"/>
      <c r="D285" s="959"/>
      <c r="E285" s="955" t="str">
        <f>IF(OR(E149+Etatsfin!J20+E150=0,Etatsfin!J20=0,R27&gt;1.003,R27&lt;1),"n/d ",(E216+(E149+(E150/3))-E218)/(E149+Etatsfin!J20+E150))</f>
        <v xml:space="preserve">n/d </v>
      </c>
      <c r="F285" s="956" t="str">
        <f>IF(OR(F149+Etatsfin!K20+F150=0,Etatsfin!K20=0,S27&gt;1.003,S27&lt;1),"n/d ",(F216+(F149+(F150/3))-F218)/(F149+Etatsfin!K20+F150))</f>
        <v xml:space="preserve">n/d </v>
      </c>
      <c r="G285" s="957" t="str">
        <f>IF(OR(G149+Etatsfin!L20+G150=0,Etatsfin!L20=0,T27&gt;1.003,T27&lt;1),"n/d ",(G216+(G149+(G150/3))-G218)/(G149+Etatsfin!L20+G150))</f>
        <v xml:space="preserve">n/d </v>
      </c>
      <c r="H285" s="954" t="str">
        <f>IF((H149+H150+H219)=0,"n/d ",(H216+(H149+(H150/3))-H218)/(H149+H150+H219))</f>
        <v xml:space="preserve">n/d </v>
      </c>
      <c r="I285" s="954" t="str">
        <f t="shared" ref="I285:N285" si="91">IF((I149+I150+I234)=0,"n/d ",(I216+(I149+(I150/3))-I218)/(I149+I150+I234))</f>
        <v xml:space="preserve">n/d </v>
      </c>
      <c r="J285" s="954" t="str">
        <f t="shared" si="91"/>
        <v xml:space="preserve">n/d </v>
      </c>
      <c r="K285" s="954" t="str">
        <f t="shared" si="91"/>
        <v xml:space="preserve">n/d </v>
      </c>
      <c r="L285" s="954" t="str">
        <f t="shared" si="91"/>
        <v xml:space="preserve">n/d </v>
      </c>
      <c r="M285" s="954" t="str">
        <f t="shared" si="91"/>
        <v xml:space="preserve">n/d </v>
      </c>
      <c r="N285" s="954" t="str">
        <f t="shared" si="91"/>
        <v xml:space="preserve">n/d </v>
      </c>
      <c r="O285" s="958" t="s">
        <v>549</v>
      </c>
      <c r="P285" s="959"/>
      <c r="Q285" s="959"/>
      <c r="R285" s="959"/>
      <c r="S285" s="959"/>
    </row>
    <row r="286" spans="1:19" ht="8" customHeight="1" x14ac:dyDescent="0.15">
      <c r="A286" s="950"/>
      <c r="B286" s="950"/>
      <c r="C286" s="950"/>
      <c r="D286" s="950"/>
      <c r="E286" s="951"/>
      <c r="F286" s="952"/>
      <c r="G286" s="953"/>
      <c r="H286" s="954"/>
      <c r="I286" s="954"/>
      <c r="J286" s="954"/>
      <c r="K286" s="954"/>
      <c r="L286" s="954"/>
      <c r="M286" s="954"/>
      <c r="N286" s="954"/>
      <c r="O286" s="950"/>
      <c r="P286" s="950"/>
      <c r="Q286" s="950"/>
      <c r="R286" s="950"/>
      <c r="S286" s="950"/>
    </row>
    <row r="287" spans="1:19" ht="14" customHeight="1" x14ac:dyDescent="0.15">
      <c r="A287" s="950" t="str">
        <f>CONCATENATE(" Dettes financières totales (en ",O21,")")</f>
        <v xml:space="preserve"> Dettes financières totales (en KF)</v>
      </c>
      <c r="B287" s="950"/>
      <c r="C287" s="950"/>
      <c r="D287" s="950"/>
      <c r="E287" s="663">
        <f>E62+E80+E89+(2*E90/3)</f>
        <v>318123.70166999998</v>
      </c>
      <c r="F287" s="664">
        <f>F62+F80+F89+(2*F90/3)</f>
        <v>301703.25600000005</v>
      </c>
      <c r="G287" s="665">
        <f>G62+G80+G89+(2*G90/3)</f>
        <v>583688.85399999993</v>
      </c>
      <c r="H287" s="960">
        <f t="shared" ref="H287:N287" si="92">H62+H80+H89+(2*H90/3)</f>
        <v>131773.39499999999</v>
      </c>
      <c r="I287" s="960">
        <f t="shared" si="92"/>
        <v>131773.39499999999</v>
      </c>
      <c r="J287" s="960">
        <f t="shared" si="92"/>
        <v>131773.39499999999</v>
      </c>
      <c r="K287" s="960">
        <f t="shared" si="92"/>
        <v>131773.39499999999</v>
      </c>
      <c r="L287" s="960">
        <f t="shared" si="92"/>
        <v>131773.39499999999</v>
      </c>
      <c r="M287" s="960">
        <f t="shared" si="92"/>
        <v>131773.39499999999</v>
      </c>
      <c r="N287" s="960">
        <f t="shared" si="92"/>
        <v>131773.39499999999</v>
      </c>
      <c r="O287" s="950" t="str">
        <f>A287</f>
        <v xml:space="preserve"> Dettes financières totales (en KF)</v>
      </c>
      <c r="P287" s="950"/>
      <c r="Q287" s="950"/>
      <c r="R287" s="950"/>
      <c r="S287" s="950"/>
    </row>
    <row r="288" spans="1:19" ht="14" customHeight="1" x14ac:dyDescent="0.15">
      <c r="A288" s="950" t="str">
        <f>CONCATENATE(" Dettes financières totales nettes (en ",O21,")")</f>
        <v xml:space="preserve"> Dettes financières totales nettes (en KF)</v>
      </c>
      <c r="B288" s="950"/>
      <c r="C288" s="950"/>
      <c r="D288" s="950"/>
      <c r="E288" s="627">
        <f t="shared" ref="E288:N288" si="93">E287-E47</f>
        <v>191703.74063999997</v>
      </c>
      <c r="F288" s="628">
        <f t="shared" si="93"/>
        <v>278975.20200000005</v>
      </c>
      <c r="G288" s="629">
        <f t="shared" si="93"/>
        <v>479069.15499999991</v>
      </c>
      <c r="H288" s="961">
        <f t="shared" si="93"/>
        <v>-52391.226999999984</v>
      </c>
      <c r="I288" s="961">
        <f t="shared" si="93"/>
        <v>-52391.226999999984</v>
      </c>
      <c r="J288" s="961">
        <f t="shared" si="93"/>
        <v>-52391.226999999984</v>
      </c>
      <c r="K288" s="961">
        <f t="shared" si="93"/>
        <v>-52391.226999999984</v>
      </c>
      <c r="L288" s="961">
        <f t="shared" si="93"/>
        <v>-52391.226999999984</v>
      </c>
      <c r="M288" s="961">
        <f t="shared" si="93"/>
        <v>-52391.226999999984</v>
      </c>
      <c r="N288" s="961">
        <f t="shared" si="93"/>
        <v>-52391.226999999984</v>
      </c>
      <c r="O288" s="950" t="str">
        <f>A288</f>
        <v xml:space="preserve"> Dettes financières totales nettes (en KF)</v>
      </c>
      <c r="P288" s="950"/>
      <c r="Q288" s="950"/>
      <c r="R288" s="950"/>
      <c r="S288" s="950"/>
    </row>
    <row r="289" spans="1:19" ht="8" customHeight="1" x14ac:dyDescent="0.15">
      <c r="A289" s="950"/>
      <c r="B289" s="950"/>
      <c r="C289" s="950"/>
      <c r="D289" s="950"/>
      <c r="E289" s="627"/>
      <c r="F289" s="628"/>
      <c r="G289" s="629"/>
      <c r="H289" s="961"/>
      <c r="I289" s="961"/>
      <c r="J289" s="961"/>
      <c r="K289" s="961"/>
      <c r="L289" s="961"/>
      <c r="M289" s="961"/>
      <c r="N289" s="961"/>
      <c r="O289" s="950"/>
      <c r="P289" s="950"/>
      <c r="Q289" s="950"/>
      <c r="R289" s="950"/>
      <c r="S289" s="950"/>
    </row>
    <row r="290" spans="1:19" s="510" customFormat="1" ht="14" customHeight="1" x14ac:dyDescent="0.15">
      <c r="A290" s="950" t="s">
        <v>550</v>
      </c>
      <c r="B290" s="950"/>
      <c r="C290" s="950"/>
      <c r="D290" s="950"/>
      <c r="E290" s="951">
        <f t="shared" ref="E290:N290" si="94">IF(E55=0,"n/d ",E287/E55)</f>
        <v>3.0162191909169009</v>
      </c>
      <c r="F290" s="952">
        <f t="shared" si="94"/>
        <v>2.3790958320607047</v>
      </c>
      <c r="G290" s="953">
        <f t="shared" si="94"/>
        <v>3.7167205179046161</v>
      </c>
      <c r="H290" s="954">
        <f t="shared" si="94"/>
        <v>0.83908554627025578</v>
      </c>
      <c r="I290" s="954">
        <f t="shared" si="94"/>
        <v>0.83908554627025578</v>
      </c>
      <c r="J290" s="954">
        <f t="shared" si="94"/>
        <v>0.83908554627025578</v>
      </c>
      <c r="K290" s="954">
        <f t="shared" si="94"/>
        <v>0.83908554627025578</v>
      </c>
      <c r="L290" s="954">
        <f t="shared" si="94"/>
        <v>0.83908554627025578</v>
      </c>
      <c r="M290" s="954">
        <f t="shared" si="94"/>
        <v>0.83908554627025578</v>
      </c>
      <c r="N290" s="954">
        <f t="shared" si="94"/>
        <v>0.83908554627025578</v>
      </c>
      <c r="O290" s="949" t="s">
        <v>550</v>
      </c>
      <c r="P290" s="949"/>
      <c r="Q290" s="949"/>
      <c r="R290" s="949"/>
      <c r="S290" s="949"/>
    </row>
    <row r="291" spans="1:19" ht="14" customHeight="1" x14ac:dyDescent="0.15">
      <c r="A291" s="950" t="s">
        <v>617</v>
      </c>
      <c r="B291" s="950"/>
      <c r="C291" s="950"/>
      <c r="D291" s="950"/>
      <c r="E291" s="951">
        <f t="shared" ref="E291:N291" si="95">IF(E55=0,"n/d ",E288/E55)</f>
        <v>1.8175964206801889</v>
      </c>
      <c r="F291" s="952">
        <f t="shared" si="95"/>
        <v>2.1998726468052872</v>
      </c>
      <c r="G291" s="953">
        <f t="shared" si="95"/>
        <v>3.0505399335306249</v>
      </c>
      <c r="H291" s="954">
        <f t="shared" si="95"/>
        <v>-0.33360847481438849</v>
      </c>
      <c r="I291" s="954">
        <f t="shared" si="95"/>
        <v>-0.33360847481438849</v>
      </c>
      <c r="J291" s="954">
        <f t="shared" si="95"/>
        <v>-0.33360847481438849</v>
      </c>
      <c r="K291" s="954">
        <f t="shared" si="95"/>
        <v>-0.33360847481438849</v>
      </c>
      <c r="L291" s="954">
        <f t="shared" si="95"/>
        <v>-0.33360847481438849</v>
      </c>
      <c r="M291" s="954">
        <f t="shared" si="95"/>
        <v>-0.33360847481438849</v>
      </c>
      <c r="N291" s="954">
        <f t="shared" si="95"/>
        <v>-0.33360847481438849</v>
      </c>
      <c r="O291" s="950" t="s">
        <v>617</v>
      </c>
      <c r="P291" s="950"/>
      <c r="Q291" s="950"/>
      <c r="R291" s="950"/>
      <c r="S291" s="950"/>
    </row>
    <row r="292" spans="1:19" s="510" customFormat="1" ht="8" customHeight="1" x14ac:dyDescent="0.15">
      <c r="A292" s="950"/>
      <c r="B292" s="950"/>
      <c r="C292" s="950"/>
      <c r="D292" s="950"/>
      <c r="E292" s="951"/>
      <c r="F292" s="952"/>
      <c r="G292" s="953"/>
      <c r="H292" s="954"/>
      <c r="I292" s="954"/>
      <c r="J292" s="954"/>
      <c r="K292" s="954"/>
      <c r="L292" s="954"/>
      <c r="M292" s="954"/>
      <c r="N292" s="954"/>
      <c r="O292" s="949"/>
      <c r="P292" s="949"/>
      <c r="Q292" s="949"/>
      <c r="R292" s="949"/>
      <c r="S292" s="949"/>
    </row>
    <row r="293" spans="1:19" s="510" customFormat="1" ht="14" customHeight="1" x14ac:dyDescent="0.15">
      <c r="A293" s="950" t="s">
        <v>551</v>
      </c>
      <c r="B293" s="950"/>
      <c r="C293" s="950"/>
      <c r="D293" s="950"/>
      <c r="E293" s="627">
        <f>IF(E135=0,"n/d ",R27*E287/E135)</f>
        <v>7.0709846698170802</v>
      </c>
      <c r="F293" s="628">
        <f>IF(F135=0,"n/d ",S27*F287/F135)</f>
        <v>3.8238772498578131</v>
      </c>
      <c r="G293" s="629">
        <f>IF(G135=0,"n/d ",T27*G287/G135)</f>
        <v>5.1181043680588614</v>
      </c>
      <c r="H293" s="961" t="str">
        <f t="shared" ref="H293:N293" si="96">IF(H135=0,"n/d ",H287/H135)</f>
        <v xml:space="preserve">n/d </v>
      </c>
      <c r="I293" s="961" t="str">
        <f t="shared" si="96"/>
        <v xml:space="preserve">n/d </v>
      </c>
      <c r="J293" s="961" t="str">
        <f t="shared" si="96"/>
        <v xml:space="preserve">n/d </v>
      </c>
      <c r="K293" s="961" t="str">
        <f t="shared" si="96"/>
        <v xml:space="preserve">n/d </v>
      </c>
      <c r="L293" s="961" t="str">
        <f t="shared" si="96"/>
        <v xml:space="preserve">n/d </v>
      </c>
      <c r="M293" s="961" t="str">
        <f t="shared" si="96"/>
        <v xml:space="preserve">n/d </v>
      </c>
      <c r="N293" s="961" t="str">
        <f t="shared" si="96"/>
        <v xml:space="preserve">n/d </v>
      </c>
      <c r="O293" s="949" t="s">
        <v>551</v>
      </c>
      <c r="P293" s="949"/>
      <c r="Q293" s="949"/>
      <c r="R293" s="949"/>
      <c r="S293" s="949"/>
    </row>
    <row r="294" spans="1:19" ht="14" customHeight="1" x14ac:dyDescent="0.15">
      <c r="A294" s="950" t="s">
        <v>618</v>
      </c>
      <c r="B294" s="950"/>
      <c r="C294" s="950"/>
      <c r="D294" s="950"/>
      <c r="E294" s="627">
        <f>IF(E135=0,"n/d ",R27*E288/E135)</f>
        <v>4.261028663051861</v>
      </c>
      <c r="F294" s="628">
        <f>IF(F135=0,"n/d ",S27*F288/F135)</f>
        <v>3.5358150997292781</v>
      </c>
      <c r="G294" s="629">
        <f>IF(G135=0,"n/d ",T27*G288/G135)</f>
        <v>4.2007414018698528</v>
      </c>
      <c r="H294" s="961" t="str">
        <f t="shared" ref="H294:N294" si="97">IF(H135=0,"n/d ",H288/H135)</f>
        <v xml:space="preserve">n/d </v>
      </c>
      <c r="I294" s="961" t="str">
        <f t="shared" si="97"/>
        <v xml:space="preserve">n/d </v>
      </c>
      <c r="J294" s="961" t="str">
        <f t="shared" si="97"/>
        <v xml:space="preserve">n/d </v>
      </c>
      <c r="K294" s="961" t="str">
        <f t="shared" si="97"/>
        <v xml:space="preserve">n/d </v>
      </c>
      <c r="L294" s="961" t="str">
        <f t="shared" si="97"/>
        <v xml:space="preserve">n/d </v>
      </c>
      <c r="M294" s="961" t="str">
        <f t="shared" si="97"/>
        <v xml:space="preserve">n/d </v>
      </c>
      <c r="N294" s="961" t="str">
        <f t="shared" si="97"/>
        <v xml:space="preserve">n/d </v>
      </c>
      <c r="O294" s="950" t="s">
        <v>618</v>
      </c>
      <c r="P294" s="950"/>
      <c r="Q294" s="950"/>
      <c r="R294" s="950"/>
      <c r="S294" s="950"/>
    </row>
    <row r="295" spans="1:19" s="964" customFormat="1" ht="14" customHeight="1" x14ac:dyDescent="0.15">
      <c r="A295" s="958" t="s">
        <v>552</v>
      </c>
      <c r="B295" s="959"/>
      <c r="C295" s="959"/>
      <c r="D295" s="959"/>
      <c r="E295" s="627">
        <f>IF(E216=0,"n/d ",R27*E287/E216)</f>
        <v>-9.8755905671823339</v>
      </c>
      <c r="F295" s="628">
        <f>IF(F216=0,"n/d ",S27*F287/F216)</f>
        <v>-3.3176844468825695</v>
      </c>
      <c r="G295" s="629">
        <f>IF(G216=0,"n/d ",T27*G287/G216)</f>
        <v>-3.1678370402682345</v>
      </c>
      <c r="H295" s="961">
        <f t="shared" ref="H295:N295" si="98">IF(H216=0,"n/d ",H287/H216)</f>
        <v>0.24794584502504818</v>
      </c>
      <c r="I295" s="961" t="str">
        <f t="shared" si="98"/>
        <v xml:space="preserve">n/d </v>
      </c>
      <c r="J295" s="961" t="str">
        <f t="shared" si="98"/>
        <v xml:space="preserve">n/d </v>
      </c>
      <c r="K295" s="961" t="str">
        <f t="shared" si="98"/>
        <v xml:space="preserve">n/d </v>
      </c>
      <c r="L295" s="961" t="str">
        <f t="shared" si="98"/>
        <v xml:space="preserve">n/d </v>
      </c>
      <c r="M295" s="961" t="str">
        <f t="shared" si="98"/>
        <v xml:space="preserve">n/d </v>
      </c>
      <c r="N295" s="961" t="str">
        <f t="shared" si="98"/>
        <v xml:space="preserve">n/d </v>
      </c>
      <c r="O295" s="962" t="s">
        <v>552</v>
      </c>
      <c r="P295" s="963"/>
      <c r="Q295" s="963"/>
      <c r="R295" s="963"/>
      <c r="S295" s="963"/>
    </row>
    <row r="296" spans="1:19" ht="14" customHeight="1" x14ac:dyDescent="0.15">
      <c r="A296" s="950"/>
      <c r="B296" s="950"/>
      <c r="C296" s="950"/>
      <c r="D296" s="950"/>
      <c r="E296" s="965"/>
      <c r="F296" s="966"/>
      <c r="G296" s="967"/>
      <c r="H296" s="968"/>
      <c r="I296" s="968"/>
      <c r="J296" s="968"/>
      <c r="K296" s="968"/>
      <c r="L296" s="968"/>
      <c r="M296" s="968"/>
      <c r="N296" s="968"/>
      <c r="O296" s="950"/>
      <c r="P296" s="950"/>
      <c r="Q296" s="950"/>
      <c r="R296" s="950"/>
      <c r="S296" s="950"/>
    </row>
    <row r="297" spans="1:19" ht="14" customHeight="1" x14ac:dyDescent="0.15">
      <c r="A297" s="950" t="s">
        <v>97</v>
      </c>
      <c r="B297" s="950"/>
      <c r="C297" s="950"/>
      <c r="D297" s="950"/>
      <c r="E297" s="951">
        <f t="shared" ref="E297:N297" si="99">IF(E143=0,"n/d ",E218/E143)</f>
        <v>3.1726845776363115</v>
      </c>
      <c r="F297" s="952">
        <f t="shared" si="99"/>
        <v>0.58178112596445686</v>
      </c>
      <c r="G297" s="953">
        <f t="shared" si="99"/>
        <v>0.93658803277877567</v>
      </c>
      <c r="H297" s="954" t="str">
        <f t="shared" si="99"/>
        <v xml:space="preserve">n/d </v>
      </c>
      <c r="I297" s="954" t="str">
        <f t="shared" si="99"/>
        <v xml:space="preserve">n/d </v>
      </c>
      <c r="J297" s="954" t="str">
        <f t="shared" si="99"/>
        <v xml:space="preserve">n/d </v>
      </c>
      <c r="K297" s="954" t="str">
        <f t="shared" si="99"/>
        <v xml:space="preserve">n/d </v>
      </c>
      <c r="L297" s="954" t="str">
        <f t="shared" si="99"/>
        <v xml:space="preserve">n/d </v>
      </c>
      <c r="M297" s="954" t="str">
        <f t="shared" si="99"/>
        <v xml:space="preserve">n/d </v>
      </c>
      <c r="N297" s="954" t="str">
        <f t="shared" si="99"/>
        <v xml:space="preserve">n/d </v>
      </c>
      <c r="O297" s="950" t="s">
        <v>97</v>
      </c>
      <c r="P297" s="950"/>
      <c r="Q297" s="950"/>
      <c r="R297" s="950"/>
      <c r="S297" s="950"/>
    </row>
    <row r="298" spans="1:19" s="707" customFormat="1" ht="14" customHeight="1" x14ac:dyDescent="0.15">
      <c r="A298" s="958"/>
      <c r="B298" s="958"/>
      <c r="C298" s="958"/>
      <c r="D298" s="958"/>
      <c r="E298" s="969"/>
      <c r="F298" s="970"/>
      <c r="G298" s="971"/>
      <c r="H298" s="958"/>
      <c r="I298" s="958"/>
      <c r="J298" s="958"/>
      <c r="K298" s="958"/>
      <c r="L298" s="958"/>
      <c r="M298" s="958"/>
      <c r="N298" s="958"/>
      <c r="O298" s="958"/>
      <c r="P298" s="958"/>
      <c r="Q298" s="958"/>
      <c r="R298" s="958"/>
      <c r="S298" s="958"/>
    </row>
    <row r="299" spans="1:19" s="707" customFormat="1" ht="14" customHeight="1" x14ac:dyDescent="0.15">
      <c r="A299" s="958" t="s">
        <v>553</v>
      </c>
      <c r="B299" s="958"/>
      <c r="C299" s="958"/>
      <c r="D299" s="958"/>
      <c r="E299" s="972">
        <f>IF(OR(E55=0,R27=0),"n/d ",(F256/R27)/E55)</f>
        <v>0</v>
      </c>
      <c r="F299" s="973">
        <f>IF(OR(F55=0,S27=0),"n/d ",(G256/S27)/F55)</f>
        <v>0</v>
      </c>
      <c r="G299" s="974">
        <f>IF(OR(G55=0,T27=0),"n/d ",(H256/T27)/G55)</f>
        <v>3.8205840598064824E-8</v>
      </c>
      <c r="H299" s="975">
        <f t="shared" ref="H299:M299" si="100">IF(H55=0,"n/d ",I256/H55)</f>
        <v>0</v>
      </c>
      <c r="I299" s="975">
        <f t="shared" si="100"/>
        <v>0</v>
      </c>
      <c r="J299" s="975">
        <f t="shared" si="100"/>
        <v>0</v>
      </c>
      <c r="K299" s="975">
        <f t="shared" si="100"/>
        <v>0</v>
      </c>
      <c r="L299" s="975">
        <f t="shared" si="100"/>
        <v>0</v>
      </c>
      <c r="M299" s="975">
        <f t="shared" si="100"/>
        <v>0</v>
      </c>
      <c r="N299" s="975">
        <f>IF(N55=0,"n/d ",R256/N55)</f>
        <v>0</v>
      </c>
      <c r="O299" s="958" t="s">
        <v>553</v>
      </c>
      <c r="P299" s="958"/>
      <c r="Q299" s="958"/>
      <c r="R299" s="958"/>
      <c r="S299" s="958"/>
    </row>
    <row r="300" spans="1:19" s="707" customFormat="1" ht="14" customHeight="1" x14ac:dyDescent="0.15">
      <c r="A300" s="958"/>
      <c r="B300" s="958"/>
      <c r="C300" s="958"/>
      <c r="D300" s="958"/>
      <c r="E300" s="969"/>
      <c r="F300" s="970"/>
      <c r="G300" s="971"/>
      <c r="H300" s="958"/>
      <c r="I300" s="958"/>
      <c r="J300" s="958"/>
      <c r="K300" s="958"/>
      <c r="L300" s="958"/>
      <c r="M300" s="958"/>
      <c r="N300" s="958"/>
      <c r="O300" s="958"/>
      <c r="P300" s="958"/>
      <c r="Q300" s="958"/>
      <c r="R300" s="958"/>
      <c r="S300" s="958"/>
    </row>
    <row r="301" spans="1:19" ht="14" customHeight="1" x14ac:dyDescent="0.15">
      <c r="A301" s="950" t="s">
        <v>554</v>
      </c>
      <c r="B301" s="950"/>
      <c r="C301" s="950"/>
      <c r="D301" s="950"/>
      <c r="E301" s="976">
        <f>E86</f>
        <v>70.129975242191932</v>
      </c>
      <c r="F301" s="977">
        <f>F86</f>
        <v>125.75104666942404</v>
      </c>
      <c r="G301" s="978">
        <f>G86</f>
        <v>118.32029131463703</v>
      </c>
      <c r="H301" s="979">
        <f t="shared" ref="H301:N301" si="101">IF(H104=0,"n/d ",(H85/H104)*360)</f>
        <v>0</v>
      </c>
      <c r="I301" s="979">
        <f t="shared" si="101"/>
        <v>0</v>
      </c>
      <c r="J301" s="979">
        <f t="shared" si="101"/>
        <v>0</v>
      </c>
      <c r="K301" s="979">
        <f t="shared" si="101"/>
        <v>0</v>
      </c>
      <c r="L301" s="979">
        <f t="shared" si="101"/>
        <v>0</v>
      </c>
      <c r="M301" s="979">
        <f t="shared" si="101"/>
        <v>0</v>
      </c>
      <c r="N301" s="979">
        <f t="shared" si="101"/>
        <v>0</v>
      </c>
      <c r="O301" s="950" t="s">
        <v>554</v>
      </c>
      <c r="P301" s="950"/>
      <c r="Q301" s="950"/>
      <c r="R301" s="950"/>
      <c r="S301" s="950"/>
    </row>
    <row r="302" spans="1:19" ht="8" customHeight="1" x14ac:dyDescent="0.15">
      <c r="A302" s="950"/>
      <c r="B302" s="950"/>
      <c r="C302" s="950"/>
      <c r="D302" s="950"/>
      <c r="E302" s="980"/>
      <c r="F302" s="981"/>
      <c r="G302" s="982"/>
      <c r="H302" s="968"/>
      <c r="I302" s="968"/>
      <c r="J302" s="968"/>
      <c r="K302" s="968"/>
      <c r="L302" s="968"/>
      <c r="M302" s="968"/>
      <c r="N302" s="968"/>
      <c r="O302" s="950"/>
      <c r="P302" s="950"/>
      <c r="Q302" s="950"/>
      <c r="R302" s="950"/>
      <c r="S302" s="950"/>
    </row>
    <row r="303" spans="1:19" s="700" customFormat="1" ht="14" customHeight="1" x14ac:dyDescent="0.15">
      <c r="A303" s="959"/>
    </row>
    <row r="304" spans="1:19" s="527" customFormat="1" ht="14" customHeight="1" x14ac:dyDescent="0.15">
      <c r="N304" s="700"/>
    </row>
    <row r="305" spans="5:14" ht="14" customHeight="1" x14ac:dyDescent="0.15">
      <c r="E305" s="444"/>
      <c r="F305" s="444"/>
      <c r="G305" s="444"/>
      <c r="H305" s="583"/>
      <c r="I305" s="583"/>
      <c r="J305" s="583"/>
      <c r="K305" s="583"/>
      <c r="L305" s="583"/>
      <c r="M305" s="793">
        <f ca="1">NOW()</f>
        <v>46304.722831944448</v>
      </c>
      <c r="N305" s="983" t="s">
        <v>555</v>
      </c>
    </row>
    <row r="306" spans="5:14" s="707" customFormat="1" ht="14" customHeight="1" x14ac:dyDescent="0.15"/>
    <row r="307" spans="5:14" s="707" customFormat="1" ht="14" customHeight="1" x14ac:dyDescent="0.15"/>
    <row r="308" spans="5:14" s="707" customFormat="1" ht="14" customHeight="1" x14ac:dyDescent="0.15"/>
    <row r="309" spans="5:14" s="707" customFormat="1" ht="14" customHeight="1" x14ac:dyDescent="0.15"/>
    <row r="310" spans="5:14" s="707" customFormat="1" ht="14" customHeight="1" x14ac:dyDescent="0.15"/>
    <row r="311" spans="5:14" s="707" customFormat="1" ht="14" customHeight="1" x14ac:dyDescent="0.15"/>
    <row r="312" spans="5:14" s="707" customFormat="1" ht="14" customHeight="1" x14ac:dyDescent="0.15"/>
    <row r="313" spans="5:14" s="707" customFormat="1" ht="14" customHeight="1" x14ac:dyDescent="0.15"/>
    <row r="314" spans="5:14" s="707" customFormat="1" ht="14" customHeight="1" x14ac:dyDescent="0.15"/>
    <row r="315" spans="5:14" s="707" customFormat="1" ht="14" customHeight="1" x14ac:dyDescent="0.15"/>
    <row r="316" spans="5:14" ht="14" customHeight="1" x14ac:dyDescent="0.15">
      <c r="N316" s="861"/>
    </row>
  </sheetData>
  <phoneticPr fontId="10" type="noConversion"/>
  <hyperlinks>
    <hyperlink ref="E224:F259" location="PrSept!G224" display="PrSept!G224" xr:uid="{00000000-0004-0000-0400-000000000000}"/>
  </hyperlinks>
  <printOptions horizontalCentered="1" verticalCentered="1" gridLines="1"/>
  <pageMargins left="0" right="0" top="0" bottom="0" header="0" footer="0"/>
  <pageSetup paperSize="9" scale="70" orientation="landscape" horizontalDpi="4294967292" verticalDpi="4294967292"/>
  <headerFooter alignWithMargins="0"/>
  <rowBreaks count="3" manualBreakCount="3">
    <brk id="194" max="65535" man="1"/>
    <brk id="263" max="16383" man="1"/>
    <brk id="327" max="65535" man="1"/>
  </rowBreaks>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28B55"/>
    <pageSetUpPr fitToPage="1"/>
  </sheetPr>
  <dimension ref="A1:V43"/>
  <sheetViews>
    <sheetView showGridLines="0" zoomScale="75" workbookViewId="0">
      <selection activeCell="A8" sqref="A8"/>
    </sheetView>
  </sheetViews>
  <sheetFormatPr baseColWidth="10" defaultColWidth="12.6640625" defaultRowHeight="14" customHeight="1" x14ac:dyDescent="0.15"/>
  <cols>
    <col min="1" max="1" width="41.6640625" style="238" customWidth="1"/>
    <col min="2" max="2" width="12.6640625" style="238" customWidth="1"/>
    <col min="3" max="4" width="0.83203125" style="238" hidden="1" customWidth="1"/>
    <col min="5" max="7" width="12.6640625" style="457" customWidth="1"/>
    <col min="8" max="8" width="13" style="457" customWidth="1"/>
    <col min="9" max="15" width="12.6640625" style="238" customWidth="1"/>
    <col min="16" max="19" width="12.6640625" style="238"/>
    <col min="20" max="20" width="27.5" style="238" customWidth="1"/>
    <col min="21" max="23" width="12.6640625" style="238"/>
    <col min="24" max="24" width="29" style="238" customWidth="1"/>
    <col min="25" max="16384" width="12.6640625" style="238"/>
  </cols>
  <sheetData>
    <row r="1" spans="1:20" ht="13.5" customHeight="1" x14ac:dyDescent="0.15">
      <c r="A1" s="984" t="str">
        <f>CONCATENATE(" Unité de compte : ",PrSept!P21)</f>
        <v xml:space="preserve"> Unité de compte : KF</v>
      </c>
      <c r="B1" s="750"/>
      <c r="C1" s="750"/>
      <c r="D1" s="750"/>
      <c r="E1" s="985"/>
      <c r="F1" s="985"/>
      <c r="G1" s="985"/>
      <c r="H1" s="985"/>
      <c r="I1" s="510"/>
      <c r="J1" s="510"/>
    </row>
    <row r="2" spans="1:20" ht="14" customHeight="1" x14ac:dyDescent="0.15">
      <c r="A2" s="986"/>
      <c r="B2" s="986"/>
      <c r="C2" s="986"/>
      <c r="D2" s="986"/>
      <c r="E2" s="986"/>
      <c r="F2" s="986"/>
      <c r="G2" s="293"/>
      <c r="H2" s="238"/>
      <c r="L2" s="294" t="s">
        <v>349</v>
      </c>
      <c r="M2" s="295">
        <f ca="1">TODAY()</f>
        <v>46304</v>
      </c>
      <c r="N2" s="987"/>
    </row>
    <row r="3" spans="1:20" ht="14" customHeight="1" x14ac:dyDescent="0.15">
      <c r="A3" s="296" t="s">
        <v>350</v>
      </c>
      <c r="B3" s="297" t="str">
        <f>IF(PrSept!B19="Saisir sur Saisie ou Etatsfin",CONCATENATE(PrSept!B19," ou PrSept"),PrSept!B19)</f>
        <v>MERIPLAST</v>
      </c>
      <c r="C3" s="298"/>
      <c r="D3" s="298"/>
      <c r="E3" s="988"/>
      <c r="F3" s="989"/>
      <c r="G3" s="293"/>
      <c r="H3" s="238"/>
      <c r="M3" s="293"/>
      <c r="N3" s="293"/>
    </row>
    <row r="4" spans="1:20" ht="14" customHeight="1" x14ac:dyDescent="0.15">
      <c r="A4" s="296" t="s">
        <v>351</v>
      </c>
      <c r="B4" s="297" t="str">
        <f>IF(PrSept!B20="Saisir sur Saisie ou Etatsfin",CONCATENATE(PrSept!B20," ou PrSept"),PrSept!B20)</f>
        <v>MERIPLAST</v>
      </c>
      <c r="C4" s="298"/>
      <c r="D4" s="298"/>
      <c r="E4" s="988"/>
      <c r="F4" s="989"/>
      <c r="G4" s="293"/>
      <c r="H4" s="238"/>
      <c r="L4" s="301" t="s">
        <v>352</v>
      </c>
      <c r="M4" s="990" t="str">
        <f>PrSept!M20</f>
        <v>A saisir sur Hypo</v>
      </c>
      <c r="N4" s="293"/>
    </row>
    <row r="5" spans="1:20" ht="14" customHeight="1" x14ac:dyDescent="0.15">
      <c r="A5" s="304"/>
      <c r="B5" s="304"/>
      <c r="C5" s="305"/>
      <c r="D5" s="305"/>
      <c r="E5" s="304"/>
      <c r="F5" s="306"/>
      <c r="G5" s="306"/>
      <c r="H5" s="238"/>
    </row>
    <row r="6" spans="1:20" ht="13.5" customHeight="1" x14ac:dyDescent="0.15">
      <c r="A6" s="991"/>
      <c r="B6" s="992"/>
      <c r="C6" s="993"/>
      <c r="D6" s="993"/>
      <c r="E6" s="991"/>
      <c r="F6" s="994"/>
      <c r="G6" s="311"/>
      <c r="H6" s="992"/>
      <c r="I6" s="312"/>
      <c r="J6" s="312"/>
      <c r="K6" s="312"/>
      <c r="L6" s="312"/>
      <c r="M6" s="312"/>
      <c r="N6" s="312"/>
      <c r="O6" s="312"/>
      <c r="P6" s="312"/>
      <c r="Q6" s="312"/>
      <c r="R6" s="312"/>
      <c r="S6" s="312"/>
    </row>
    <row r="7" spans="1:20" ht="13.5" customHeight="1" x14ac:dyDescent="0.15">
      <c r="E7" s="255"/>
      <c r="F7" s="255"/>
      <c r="G7" s="255"/>
      <c r="H7" s="255"/>
      <c r="I7" s="255"/>
      <c r="J7" s="255"/>
      <c r="K7" s="255"/>
      <c r="L7" s="255"/>
      <c r="M7" s="255"/>
      <c r="N7" s="255"/>
    </row>
    <row r="8" spans="1:20" s="544" customFormat="1" ht="14" customHeight="1" x14ac:dyDescent="0.15">
      <c r="E8" s="996"/>
      <c r="F8" s="996"/>
      <c r="G8" s="996"/>
      <c r="H8" s="996"/>
      <c r="I8" s="996"/>
      <c r="J8" s="996"/>
      <c r="K8" s="996"/>
      <c r="L8" s="996"/>
      <c r="M8" s="996"/>
      <c r="N8" s="996"/>
    </row>
    <row r="9" spans="1:20" s="544" customFormat="1" ht="14" customHeight="1" x14ac:dyDescent="0.15">
      <c r="E9" s="996"/>
      <c r="F9" s="996"/>
      <c r="G9" s="996"/>
      <c r="H9" s="996"/>
      <c r="I9" s="996"/>
      <c r="J9" s="996"/>
      <c r="K9" s="996"/>
      <c r="L9" s="996"/>
      <c r="M9" s="996"/>
      <c r="N9" s="996"/>
    </row>
    <row r="10" spans="1:20" s="304" customFormat="1" ht="14" customHeight="1" x14ac:dyDescent="0.2">
      <c r="E10" s="997" t="str">
        <f>PrSept!E25</f>
        <v>Historique</v>
      </c>
      <c r="F10" s="998"/>
      <c r="G10" s="998"/>
      <c r="H10" s="997" t="str">
        <f>PrSept!H25</f>
        <v>Prévisions</v>
      </c>
      <c r="I10" s="998"/>
      <c r="J10" s="998"/>
      <c r="K10" s="998"/>
      <c r="L10" s="998"/>
      <c r="M10" s="998"/>
      <c r="N10" s="998"/>
    </row>
    <row r="11" spans="1:20" ht="14" customHeight="1" x14ac:dyDescent="0.2">
      <c r="A11" s="320" t="s">
        <v>695</v>
      </c>
      <c r="E11" s="321">
        <f>PrSept!E26</f>
        <v>39783</v>
      </c>
      <c r="F11" s="321">
        <f>PrSept!F26</f>
        <v>40178</v>
      </c>
      <c r="G11" s="321">
        <f>PrSept!G26</f>
        <v>40543</v>
      </c>
      <c r="H11" s="321">
        <f>PrSept!H26</f>
        <v>40909</v>
      </c>
      <c r="I11" s="321">
        <f>PrSept!I26</f>
        <v>41275</v>
      </c>
      <c r="J11" s="321">
        <f>PrSept!J26</f>
        <v>41641</v>
      </c>
      <c r="K11" s="321">
        <f>PrSept!K26</f>
        <v>42007</v>
      </c>
      <c r="L11" s="321">
        <f>PrSept!L26</f>
        <v>42373</v>
      </c>
      <c r="M11" s="321">
        <f>PrSept!M26</f>
        <v>42739</v>
      </c>
      <c r="N11" s="321">
        <f>PrSept!N26</f>
        <v>43105</v>
      </c>
      <c r="O11" s="321">
        <f>N11+366</f>
        <v>43471</v>
      </c>
      <c r="P11" s="321">
        <f>O11+366</f>
        <v>43837</v>
      </c>
      <c r="Q11" s="321">
        <f>P11+366</f>
        <v>44203</v>
      </c>
      <c r="R11" s="321">
        <f>Q11+366</f>
        <v>44569</v>
      </c>
      <c r="S11" s="321">
        <f>R11+366</f>
        <v>44935</v>
      </c>
      <c r="T11" s="305" t="s">
        <v>696</v>
      </c>
    </row>
    <row r="12" spans="1:20" ht="14" customHeight="1" x14ac:dyDescent="0.15">
      <c r="A12" s="305"/>
      <c r="B12" s="999"/>
      <c r="C12" s="999"/>
      <c r="D12" s="999"/>
      <c r="E12" s="607"/>
      <c r="F12" s="607"/>
      <c r="G12" s="607"/>
      <c r="H12" s="999"/>
      <c r="I12" s="999"/>
      <c r="J12" s="999"/>
      <c r="K12" s="999"/>
      <c r="L12" s="999"/>
      <c r="M12" s="999"/>
      <c r="N12" s="999"/>
      <c r="O12" s="999"/>
      <c r="P12" s="999"/>
      <c r="Q12" s="999"/>
      <c r="R12" s="999"/>
      <c r="S12" s="999"/>
      <c r="T12" s="305"/>
    </row>
    <row r="13" spans="1:20" ht="14" customHeight="1" x14ac:dyDescent="0.15">
      <c r="A13" s="305" t="s">
        <v>657</v>
      </c>
      <c r="E13" s="376">
        <f>PrSept!E135</f>
        <v>45113.27464999997</v>
      </c>
      <c r="F13" s="377">
        <f>PrSept!F135</f>
        <v>85384.745000000097</v>
      </c>
      <c r="G13" s="621">
        <f>PrSept!G135</f>
        <v>114043.95300000008</v>
      </c>
      <c r="H13" s="607">
        <f>IF(B26&lt;1,"--",PrSept!H135)</f>
        <v>0</v>
      </c>
      <c r="I13" s="607">
        <f>IF(B26&lt;2,"--",PrSept!I135)</f>
        <v>0</v>
      </c>
      <c r="J13" s="607">
        <f>IF(B26&lt;3,"--",PrSept!J135)</f>
        <v>0</v>
      </c>
      <c r="K13" s="607">
        <f>IF(B26&lt;4,"--",PrSept!K135)</f>
        <v>0</v>
      </c>
      <c r="L13" s="607">
        <f>IF(B26&lt;5,"--",PrSept!L135)</f>
        <v>0</v>
      </c>
      <c r="M13" s="607">
        <f>IF(B26&lt;6,"--",PrSept!M135)</f>
        <v>0</v>
      </c>
      <c r="N13" s="607">
        <f>IF(B26&lt;7,"--",PrSept!N135)</f>
        <v>0</v>
      </c>
      <c r="O13" s="607">
        <f>IF(B26&lt;8,"--",N13)</f>
        <v>0</v>
      </c>
      <c r="P13" s="607">
        <f>IF(B26&lt;9,"--",O13)</f>
        <v>0</v>
      </c>
      <c r="Q13" s="607">
        <f>IF(B26&lt;10,"--",P13)</f>
        <v>0</v>
      </c>
      <c r="R13" s="607">
        <f>IF(B26&lt;11,"--",Q13)</f>
        <v>0</v>
      </c>
      <c r="S13" s="607">
        <f>IF(B26&lt;12,"--",R13)</f>
        <v>0</v>
      </c>
      <c r="T13" s="305" t="s">
        <v>657</v>
      </c>
    </row>
    <row r="14" spans="1:20" ht="14" customHeight="1" x14ac:dyDescent="0.15">
      <c r="A14" s="238" t="s">
        <v>658</v>
      </c>
      <c r="E14" s="627">
        <f>PrSept!E218</f>
        <v>61434.208020000005</v>
      </c>
      <c r="F14" s="628">
        <f>PrSept!F218</f>
        <v>12147.063979999988</v>
      </c>
      <c r="G14" s="629">
        <f>PrSept!G218</f>
        <v>26556.550000000057</v>
      </c>
      <c r="H14" s="606">
        <f>IF(B26&lt;1,"--",PrSept!H218)</f>
        <v>0</v>
      </c>
      <c r="I14" s="606">
        <f>IF(B26&lt;2,"--",PrSept!I218)</f>
        <v>0</v>
      </c>
      <c r="J14" s="606">
        <f>IF(B26&lt;3,"--",PrSept!J218)</f>
        <v>0</v>
      </c>
      <c r="K14" s="606">
        <f>IF(B26&lt;4,"--",PrSept!K218)</f>
        <v>0</v>
      </c>
      <c r="L14" s="606">
        <f>IF(B26&lt;5,"--",PrSept!L218)</f>
        <v>0</v>
      </c>
      <c r="M14" s="606">
        <f>IF(B26&lt;6,"--",PrSept!M218)</f>
        <v>0</v>
      </c>
      <c r="N14" s="606">
        <f>IF(B26&lt;7,"--",PrSept!N218)</f>
        <v>0</v>
      </c>
      <c r="O14" s="606">
        <f>IF(B26&lt;8,"--",N14)</f>
        <v>0</v>
      </c>
      <c r="P14" s="606">
        <f>IF(B26&lt;9,"--",O14)</f>
        <v>0</v>
      </c>
      <c r="Q14" s="606">
        <f>IF(B26&lt;10,"--",P14)</f>
        <v>0</v>
      </c>
      <c r="R14" s="606">
        <f>IF(B26&lt;11,"--",Q14)</f>
        <v>0</v>
      </c>
      <c r="S14" s="606">
        <f>IF(B26&lt;12,"--",R14)</f>
        <v>0</v>
      </c>
      <c r="T14" s="238" t="s">
        <v>658</v>
      </c>
    </row>
    <row r="15" spans="1:20" ht="14" customHeight="1" x14ac:dyDescent="0.15">
      <c r="A15" s="238" t="s">
        <v>659</v>
      </c>
      <c r="E15" s="623">
        <f>PrSept!E210-(PrSept!E89-Etatsfin!K34)</f>
        <v>64151.467739999964</v>
      </c>
      <c r="F15" s="628">
        <f>PrSept!F210-(PrSept!F89-PrSept!E89)</f>
        <v>153535.45476000002</v>
      </c>
      <c r="G15" s="629">
        <f>PrSept!G210-(PrSept!G89-PrSept!F89)</f>
        <v>238176.75199999995</v>
      </c>
      <c r="H15" s="606">
        <f>IF(B26&lt;1,"--",PrSept!H85-PrSept!G85)</f>
        <v>-531193.91300000006</v>
      </c>
      <c r="I15" s="606">
        <f>IF(B26&lt;2,"--",PrSept!I85-PrSept!H85)</f>
        <v>0</v>
      </c>
      <c r="J15" s="606">
        <f>IF(B26&lt;3,"--",PrSept!J85-PrSept!I85)</f>
        <v>0</v>
      </c>
      <c r="K15" s="606">
        <f>IF(B26&lt;4,"--",PrSept!K85-PrSept!J85)</f>
        <v>0</v>
      </c>
      <c r="L15" s="606">
        <f>IF(B26&lt;5,"--",PrSept!L85-PrSept!K85)</f>
        <v>0</v>
      </c>
      <c r="M15" s="606">
        <f>IF(B26&lt;6,"--",PrSept!M85-PrSept!L85)</f>
        <v>0</v>
      </c>
      <c r="N15" s="606">
        <f>IF(B26&lt;7,"--",PrSept!N85-PrSept!M85)</f>
        <v>0</v>
      </c>
      <c r="O15" s="468">
        <v>0</v>
      </c>
      <c r="P15" s="468">
        <v>0</v>
      </c>
      <c r="Q15" s="468">
        <v>0</v>
      </c>
      <c r="R15" s="468">
        <v>0</v>
      </c>
      <c r="S15" s="468">
        <v>0</v>
      </c>
      <c r="T15" s="238" t="s">
        <v>659</v>
      </c>
    </row>
    <row r="16" spans="1:20" ht="14" customHeight="1" x14ac:dyDescent="0.15">
      <c r="A16" s="238" t="s">
        <v>169</v>
      </c>
      <c r="E16" s="627">
        <f>PrSept!E163</f>
        <v>6127.6695499999996</v>
      </c>
      <c r="F16" s="628">
        <f>PrSept!F163</f>
        <v>6938.5937011200003</v>
      </c>
      <c r="G16" s="629">
        <f>PrSept!G163</f>
        <v>6990.3630000000003</v>
      </c>
      <c r="H16" s="606">
        <f>IF(B26&lt;1,"--",PrSept!H163)</f>
        <v>0</v>
      </c>
      <c r="I16" s="606">
        <f>IF(B26&lt;2,"--",PrSept!I163)</f>
        <v>0</v>
      </c>
      <c r="J16" s="606">
        <f>IF(B26&lt;3,"--",PrSept!J163)</f>
        <v>0</v>
      </c>
      <c r="K16" s="606">
        <f>IF(B26&lt;4,"--",PrSept!K163)</f>
        <v>0</v>
      </c>
      <c r="L16" s="606">
        <f>IF(B26&lt;5,"--",PrSept!L163)</f>
        <v>0</v>
      </c>
      <c r="M16" s="606">
        <f>IF(B26&lt;6,"--",PrSept!M163)</f>
        <v>0</v>
      </c>
      <c r="N16" s="606">
        <f>IF(B26&lt;7,"--",PrSept!N163)</f>
        <v>0</v>
      </c>
      <c r="O16" s="606">
        <f>IF(B26&lt;8,"--",N16)</f>
        <v>0</v>
      </c>
      <c r="P16" s="606">
        <f>IF(B26&lt;9,"--",O16)</f>
        <v>0</v>
      </c>
      <c r="Q16" s="606">
        <f>IF(B26&lt;10,"--",P16)</f>
        <v>0</v>
      </c>
      <c r="R16" s="606">
        <f>IF(B26&lt;11,"--",Q16)</f>
        <v>0</v>
      </c>
      <c r="S16" s="606">
        <f>IF(B26&lt;12,"--",R16)</f>
        <v>0</v>
      </c>
      <c r="T16" s="238" t="s">
        <v>169</v>
      </c>
    </row>
    <row r="17" spans="1:22" ht="14" customHeight="1" x14ac:dyDescent="0.15">
      <c r="A17" s="238" t="s">
        <v>660</v>
      </c>
      <c r="E17" s="1000">
        <f>PrSept!E256</f>
        <v>0</v>
      </c>
      <c r="F17" s="1001">
        <f>PrSept!F256</f>
        <v>0</v>
      </c>
      <c r="G17" s="1002">
        <f>PrSept!G256</f>
        <v>0</v>
      </c>
      <c r="H17" s="559">
        <f>IF(B26&lt;1,"--",PrSept!H256)</f>
        <v>6.000000055792043E-3</v>
      </c>
      <c r="I17" s="559">
        <f>IF(B26&lt;2,"--",PrSept!I256)</f>
        <v>0</v>
      </c>
      <c r="J17" s="559">
        <f>IF(B26&lt;3,"--",PrSept!J256)</f>
        <v>0</v>
      </c>
      <c r="K17" s="559">
        <f>IF(B26&lt;4,"--",PrSept!K256)</f>
        <v>0</v>
      </c>
      <c r="L17" s="559">
        <f>IF(B26&lt;5,"--",PrSept!L256)</f>
        <v>0</v>
      </c>
      <c r="M17" s="559">
        <f>IF(B26&lt;6,"--",PrSept!M256)</f>
        <v>0</v>
      </c>
      <c r="N17" s="559">
        <f>IF(B26&lt;7,"--",PrSept!N256)</f>
        <v>0</v>
      </c>
      <c r="O17" s="559">
        <f>IF(B26&lt;8,"--",PrSept!R256)</f>
        <v>0</v>
      </c>
      <c r="P17" s="559">
        <f>IF(B26&lt;9,"--",O17)</f>
        <v>0</v>
      </c>
      <c r="Q17" s="559">
        <f>IF(B26&lt;10,"--",P17)</f>
        <v>0</v>
      </c>
      <c r="R17" s="559">
        <f>IF(B26&lt;11,"--",Q17)</f>
        <v>0</v>
      </c>
      <c r="S17" s="559">
        <f>IF(B26&lt;12,"--",R17)</f>
        <v>0</v>
      </c>
      <c r="T17" s="238" t="s">
        <v>660</v>
      </c>
    </row>
    <row r="18" spans="1:22" ht="14" customHeight="1" x14ac:dyDescent="0.15">
      <c r="A18" s="238" t="s">
        <v>697</v>
      </c>
      <c r="E18" s="1003"/>
      <c r="F18" s="1004"/>
      <c r="G18" s="1004" t="s">
        <v>661</v>
      </c>
      <c r="H18" s="1004"/>
      <c r="I18" s="1004"/>
      <c r="J18" s="1004"/>
      <c r="K18" s="1004"/>
      <c r="L18" s="1004"/>
      <c r="M18" s="1004"/>
      <c r="N18" s="1004"/>
      <c r="O18" s="468"/>
      <c r="P18" s="468"/>
      <c r="Q18" s="468"/>
      <c r="R18" s="468"/>
      <c r="S18" s="468"/>
      <c r="T18" s="238" t="s">
        <v>698</v>
      </c>
    </row>
    <row r="19" spans="1:22" ht="14" customHeight="1" x14ac:dyDescent="0.15">
      <c r="A19" s="305" t="s">
        <v>662</v>
      </c>
      <c r="B19" s="305"/>
      <c r="C19" s="305"/>
      <c r="D19" s="305"/>
      <c r="E19" s="742">
        <f>E13-E14-E15-E16-E17+E18</f>
        <v>-86600.070660000012</v>
      </c>
      <c r="F19" s="422">
        <f>F13-F14-F15-F16-F17+F18</f>
        <v>-87236.367441119917</v>
      </c>
      <c r="G19" s="423">
        <f>IF(G18="A saisir le cas échéant",G13-G14-G15-G16-G17,G13-G14-G15-G16-G17+G18)</f>
        <v>-157679.71199999994</v>
      </c>
      <c r="H19" s="607">
        <f>IF(B26&lt;1,"--",H13-H14-H15-H16-H17+H18)</f>
        <v>531193.90700000001</v>
      </c>
      <c r="I19" s="607">
        <f>IF(B26&lt;2,"--",I13-I14-I15-I16-I17+I18)</f>
        <v>0</v>
      </c>
      <c r="J19" s="607">
        <f>IF(B26&lt;3,"--",J13-J14-J15-J16-J17+J18)</f>
        <v>0</v>
      </c>
      <c r="K19" s="607">
        <f>IF(B26&lt;4,"--",K13-K14-K15-K16-K17+K18)</f>
        <v>0</v>
      </c>
      <c r="L19" s="607">
        <f>IF(B26&lt;5,"--",L13-L14-L15-L16-L17+L18)</f>
        <v>0</v>
      </c>
      <c r="M19" s="607">
        <f>IF(B26&lt;6,"--",M13-M14-M15-M16-M17+M18)</f>
        <v>0</v>
      </c>
      <c r="N19" s="607">
        <f>IF(B26&lt;7,"--",N13-N14-N15-N16-N17+N18)</f>
        <v>0</v>
      </c>
      <c r="O19" s="607">
        <f>IF(B26&lt;8,"--",O13-O14-O15-O16-O17+O18)</f>
        <v>0</v>
      </c>
      <c r="P19" s="607">
        <f>IF(B26&lt;9,"--",P13-P14-P15-P16-P17+P18)</f>
        <v>0</v>
      </c>
      <c r="Q19" s="607">
        <f>IF(B26&lt;10,"--",Q13-Q14-Q15-Q16-Q17+Q18)</f>
        <v>0</v>
      </c>
      <c r="R19" s="607">
        <f>IF(B26&lt;11,"--",R13-R14-R15-R16-R17+R18)</f>
        <v>0</v>
      </c>
      <c r="S19" s="607">
        <f>IF(B26&lt;12,"--",S13-S14-S15-S16-S17+S18)</f>
        <v>0</v>
      </c>
      <c r="T19" s="305" t="s">
        <v>662</v>
      </c>
    </row>
    <row r="20" spans="1:22" ht="14" customHeight="1" x14ac:dyDescent="0.15">
      <c r="A20" s="238" t="s">
        <v>699</v>
      </c>
      <c r="E20" s="608">
        <f>IF(Etatsfin!K20=0,0,PrSept!E149+Etatsfin!K20+PrSept!E150)</f>
        <v>0</v>
      </c>
      <c r="F20" s="609">
        <f>IF(Etatsfin!L20=0,0,PrSept!F149+Etatsfin!L20+PrSept!F150)</f>
        <v>0</v>
      </c>
      <c r="G20" s="610">
        <f>IF(Etatsfin!M20=0,0,PrSept!G149+Etatsfin!M20+PrSept!G150)</f>
        <v>0</v>
      </c>
      <c r="H20" s="559">
        <f>IF(B26&lt;1,"--",PrSept!H234+PrSept!H149+PrSept!H150)</f>
        <v>0</v>
      </c>
      <c r="I20" s="559">
        <f>IF(B26&lt;2,"--",PrSept!I234+PrSept!I149+PrSept!I150)</f>
        <v>0</v>
      </c>
      <c r="J20" s="559">
        <f>IF(B26&lt;3,"--",PrSept!J234+PrSept!J149+PrSept!J150)</f>
        <v>0</v>
      </c>
      <c r="K20" s="559">
        <f>IF(B26&lt;4,"--",PrSept!K234+PrSept!K149+PrSept!K150)</f>
        <v>0</v>
      </c>
      <c r="L20" s="559">
        <f>IF(B26&lt;5,"--",PrSept!L234+PrSept!L149+PrSept!L150)</f>
        <v>0</v>
      </c>
      <c r="M20" s="559">
        <f>IF(B26&lt;6,"--",PrSept!M234+PrSept!M149+PrSept!M150)</f>
        <v>0</v>
      </c>
      <c r="N20" s="559">
        <f>IF(B26&lt;7,"--",PrSept!N234+PrSept!N149+PrSept!N150)</f>
        <v>0</v>
      </c>
      <c r="O20" s="468"/>
      <c r="P20" s="468"/>
      <c r="Q20" s="468"/>
      <c r="R20" s="468"/>
      <c r="S20" s="468"/>
      <c r="T20" s="238" t="s">
        <v>663</v>
      </c>
    </row>
    <row r="21" spans="1:22" ht="14" customHeight="1" x14ac:dyDescent="0.15">
      <c r="A21" s="238" t="s">
        <v>664</v>
      </c>
      <c r="E21" s="1005" t="s">
        <v>444</v>
      </c>
      <c r="F21" s="1006"/>
      <c r="G21" s="1007"/>
      <c r="H21" s="559">
        <f>IF(H32="Non",0,PrSept!H80+PrSept!H89-((PrSept!H80+PrSept!H89)/2*H28))</f>
        <v>0</v>
      </c>
      <c r="I21" s="559">
        <f>IF(I32="Non",0,PrSept!I80+PrSept!I89-((PrSept!I80+PrSept!I89)/2*I28))</f>
        <v>0</v>
      </c>
      <c r="J21" s="559">
        <f>IF(J32="Non",0,PrSept!J80+PrSept!J89-((PrSept!J80+PrSept!J89)/2*J28))</f>
        <v>0</v>
      </c>
      <c r="K21" s="559">
        <f>IF(K32="Non",0,PrSept!K80+PrSept!K89-((PrSept!K80+PrSept!K89)/2*K28))</f>
        <v>0</v>
      </c>
      <c r="L21" s="559">
        <f>IF(L32="Non",0,PrSept!L80+PrSept!L89-((PrSept!L80+PrSept!L89)/2*L28))</f>
        <v>0</v>
      </c>
      <c r="M21" s="559">
        <f>IF(M32="Non",0,PrSept!M80+PrSept!M89-((PrSept!M80+PrSept!M89)/2*M28))</f>
        <v>0</v>
      </c>
      <c r="N21" s="559">
        <f>IF(N32="Non",0,PrSept!N80+PrSept!N89-((PrSept!N80+PrSept!N89)/2*N28))</f>
        <v>0</v>
      </c>
      <c r="O21" s="468"/>
      <c r="P21" s="1008" t="s">
        <v>444</v>
      </c>
      <c r="Q21" s="1009"/>
      <c r="R21" s="1008"/>
      <c r="S21" s="468"/>
      <c r="T21" s="238" t="s">
        <v>664</v>
      </c>
    </row>
    <row r="22" spans="1:22" ht="30.75" customHeight="1" x14ac:dyDescent="0.15">
      <c r="A22" s="1010" t="s">
        <v>700</v>
      </c>
      <c r="B22" s="279"/>
      <c r="C22" s="279"/>
      <c r="D22" s="279"/>
      <c r="E22" s="1011" t="str">
        <f>IF(E20=0," n/d",E19-E20)</f>
        <v xml:space="preserve"> n/d</v>
      </c>
      <c r="F22" s="1012" t="str">
        <f>IF(F20=0," n/d",F19-F20)</f>
        <v xml:space="preserve"> n/d</v>
      </c>
      <c r="G22" s="1013" t="str">
        <f>IF(G20=0," n/d",G19-G20)</f>
        <v xml:space="preserve"> n/d</v>
      </c>
      <c r="H22" s="785">
        <f>IF(B26&lt;1,"--",H19-H20-H21)</f>
        <v>531193.90700000001</v>
      </c>
      <c r="I22" s="785">
        <f>IF(B26&lt;2,"--",I19-I20-I21)</f>
        <v>0</v>
      </c>
      <c r="J22" s="785">
        <f>IF(B26&lt;3,"--",J19-J20-J21)</f>
        <v>0</v>
      </c>
      <c r="K22" s="785">
        <f>IF(B26&lt;4,"--",K19-K20-K21)</f>
        <v>0</v>
      </c>
      <c r="L22" s="785">
        <f>IF(B26&lt;5,"--",L19-L20-L21)</f>
        <v>0</v>
      </c>
      <c r="M22" s="785">
        <f>IF(B26&lt;6,"--",M19-M20-M21)</f>
        <v>0</v>
      </c>
      <c r="N22" s="785">
        <f>IF(B26&lt;7,"--",N19-N20-N21)</f>
        <v>0</v>
      </c>
      <c r="O22" s="1014"/>
      <c r="P22" s="1014"/>
      <c r="Q22" s="1014"/>
      <c r="R22" s="1014"/>
      <c r="S22" s="1014"/>
      <c r="T22" s="1010" t="s">
        <v>700</v>
      </c>
    </row>
    <row r="23" spans="1:22" s="255" customFormat="1" ht="14" customHeight="1" x14ac:dyDescent="0.15">
      <c r="E23" s="614"/>
      <c r="F23" s="614"/>
      <c r="G23" s="614"/>
      <c r="H23" s="614"/>
      <c r="I23" s="614"/>
      <c r="J23" s="614"/>
      <c r="K23" s="614"/>
      <c r="L23" s="614"/>
      <c r="M23" s="614"/>
      <c r="N23" s="614"/>
    </row>
    <row r="24" spans="1:22" ht="14" customHeight="1" x14ac:dyDescent="0.15">
      <c r="A24" s="322" t="s">
        <v>665</v>
      </c>
      <c r="B24" s="1015" t="str">
        <f>IF(OR(B26="A saisir",B26=""),"",IF(B26&gt;12,"12 années au maximum!",""))</f>
        <v/>
      </c>
      <c r="C24" s="305"/>
      <c r="D24" s="305"/>
      <c r="E24" s="606"/>
      <c r="F24" s="606"/>
      <c r="G24" s="1016" t="s">
        <v>666</v>
      </c>
      <c r="H24" s="1017"/>
      <c r="I24" s="1017"/>
      <c r="J24" s="1017"/>
      <c r="K24" s="1017"/>
      <c r="L24" s="606"/>
      <c r="M24" s="606"/>
      <c r="N24" s="606"/>
      <c r="O24" s="583"/>
      <c r="P24" s="583"/>
      <c r="Q24" s="583"/>
      <c r="R24" s="583"/>
      <c r="S24" s="583"/>
      <c r="T24" s="305" t="s">
        <v>665</v>
      </c>
    </row>
    <row r="25" spans="1:22" ht="6.75" customHeight="1" thickBot="1" x14ac:dyDescent="0.2">
      <c r="A25" s="305"/>
      <c r="B25" s="305"/>
      <c r="C25" s="305"/>
      <c r="D25" s="305"/>
      <c r="E25" s="606"/>
      <c r="F25" s="606"/>
      <c r="G25" s="1017"/>
      <c r="H25" s="1017"/>
      <c r="I25" s="1017"/>
      <c r="J25" s="1017"/>
      <c r="K25" s="1017"/>
      <c r="L25" s="606"/>
      <c r="M25" s="606"/>
      <c r="N25" s="606"/>
      <c r="O25" s="583"/>
      <c r="P25" s="583"/>
      <c r="Q25" s="583"/>
      <c r="R25" s="583"/>
      <c r="S25" s="583"/>
      <c r="T25" s="305"/>
    </row>
    <row r="26" spans="1:22" ht="14" customHeight="1" thickBot="1" x14ac:dyDescent="0.2">
      <c r="A26" s="296" t="s">
        <v>667</v>
      </c>
      <c r="B26" s="1018" t="s">
        <v>446</v>
      </c>
      <c r="C26" s="1019"/>
      <c r="D26" s="1019"/>
      <c r="E26" s="1020" t="s">
        <v>668</v>
      </c>
      <c r="F26" s="614"/>
      <c r="G26" s="1021" t="s">
        <v>669</v>
      </c>
      <c r="H26" s="620" t="s">
        <v>670</v>
      </c>
      <c r="I26" s="620" t="s">
        <v>671</v>
      </c>
      <c r="J26" s="620" t="s">
        <v>672</v>
      </c>
      <c r="K26" s="620" t="s">
        <v>673</v>
      </c>
      <c r="L26" s="620" t="s">
        <v>674</v>
      </c>
      <c r="M26" s="620" t="s">
        <v>675</v>
      </c>
      <c r="N26" s="620" t="s">
        <v>676</v>
      </c>
      <c r="O26" s="620" t="s">
        <v>677</v>
      </c>
      <c r="P26" s="620" t="s">
        <v>678</v>
      </c>
      <c r="Q26" s="620" t="s">
        <v>679</v>
      </c>
      <c r="R26" s="620" t="s">
        <v>680</v>
      </c>
      <c r="S26" s="620" t="s">
        <v>681</v>
      </c>
      <c r="T26" s="238" t="s">
        <v>682</v>
      </c>
    </row>
    <row r="27" spans="1:22" ht="6.75" customHeight="1" x14ac:dyDescent="0.15">
      <c r="B27" s="1019"/>
      <c r="C27" s="1019"/>
      <c r="D27" s="1019"/>
      <c r="E27" s="1022"/>
      <c r="F27" s="1022"/>
      <c r="G27" s="606"/>
      <c r="H27" s="606"/>
      <c r="I27" s="606"/>
      <c r="J27" s="606"/>
      <c r="K27" s="606"/>
      <c r="L27" s="606"/>
      <c r="M27" s="606"/>
      <c r="N27" s="606"/>
      <c r="O27" s="583"/>
      <c r="P27" s="583"/>
      <c r="Q27" s="583"/>
      <c r="R27" s="583"/>
      <c r="S27" s="583"/>
    </row>
    <row r="28" spans="1:22" ht="14" customHeight="1" x14ac:dyDescent="0.15">
      <c r="A28" s="238" t="s">
        <v>683</v>
      </c>
      <c r="E28" s="1023">
        <f>IF(PrSept!E15="n/d ","n/d ",IF(OR(PrSept!E17&lt;=0,PrSept!E17&gt;=1,PrSept!E17="n/d "),PrSept!E15,PrSept!E15*(1-PrSept!E17)))</f>
        <v>2.351669311094963E-2</v>
      </c>
      <c r="F28" s="1024">
        <f>IF(PrSept!F15="n/d ","n/d ",IF(OR(PrSept!F17&lt;=0,PrSept!F17&gt;=1,PrSept!F17="n/d "),PrSept!F15,PrSept!F15*(1-PrSept!F17)))</f>
        <v>5.1755046813237809E-2</v>
      </c>
      <c r="G28" s="1025">
        <f>IF(PrSept!G15="n/d ","n/d ",IF(OR(PrSept!G17&lt;=0,PrSept!G17&gt;=1,PrSept!G17="n/d "),PrSept!G15,PrSept!G15*(1-PrSept!G17)))</f>
        <v>0.10691523755168554</v>
      </c>
      <c r="H28" s="1026">
        <f>IF(OR(PrSept!H165&lt;=0,PrSept!H163&lt;=0,PrSept!H165+PrSept!H163=0),PrSept!H16,(PrSept!H16/(1+(PrSept!H163/PrSept!H165))))</f>
        <v>0</v>
      </c>
      <c r="I28" s="1026">
        <f>IF(OR(PrSept!I165&lt;=0,PrSept!I163&lt;=0,PrSept!I165+PrSept!I163=0),PrSept!I16,(PrSept!I16/(1+(PrSept!I163/PrSept!I165))))</f>
        <v>0</v>
      </c>
      <c r="J28" s="1026">
        <f>IF(OR(PrSept!J165&lt;=0,PrSept!J163&lt;=0,PrSept!J165+PrSept!J163=0),PrSept!J16,(PrSept!J16/(1+(PrSept!J163/PrSept!J165))))</f>
        <v>0</v>
      </c>
      <c r="K28" s="1026">
        <f>IF(OR(PrSept!K165&lt;=0,PrSept!K163&lt;=0,PrSept!K165+PrSept!K163=0),PrSept!K16,(PrSept!K16/(1+(PrSept!K163/PrSept!K165))))</f>
        <v>0</v>
      </c>
      <c r="L28" s="1026">
        <f>IF(OR(PrSept!L165&lt;=0,PrSept!L163&lt;=0,PrSept!L165+PrSept!L163=0),PrSept!L16,(PrSept!L16/(1+(PrSept!L163/PrSept!L165))))</f>
        <v>0</v>
      </c>
      <c r="M28" s="1026">
        <f>IF(OR(PrSept!M165&lt;=0,PrSept!M163&lt;=0,PrSept!M165+PrSept!M163=0),PrSept!M16,(PrSept!M16/(1+(PrSept!M163/PrSept!M165))))</f>
        <v>0</v>
      </c>
      <c r="N28" s="1026">
        <f>IF(OR(PrSept!N165&lt;=0,PrSept!N163&lt;=0,PrSept!N165+PrSept!N163=0),PrSept!N16,(PrSept!N16/(1+(PrSept!N163/PrSept!N165))))</f>
        <v>0</v>
      </c>
      <c r="O28" s="1026">
        <f>N28</f>
        <v>0</v>
      </c>
      <c r="P28" s="1026">
        <f>O28</f>
        <v>0</v>
      </c>
      <c r="Q28" s="1026">
        <f>P28</f>
        <v>0</v>
      </c>
      <c r="R28" s="1026">
        <f>Q28</f>
        <v>0</v>
      </c>
      <c r="S28" s="1026">
        <f>R28</f>
        <v>0</v>
      </c>
      <c r="T28" s="238" t="s">
        <v>684</v>
      </c>
    </row>
    <row r="29" spans="1:22" ht="14" customHeight="1" x14ac:dyDescent="0.15">
      <c r="A29" s="238" t="s">
        <v>685</v>
      </c>
      <c r="E29" s="1027"/>
      <c r="F29" s="1028"/>
      <c r="G29" s="1029"/>
      <c r="H29" s="1030">
        <f>(1+H28)</f>
        <v>1</v>
      </c>
      <c r="I29" s="1030">
        <f t="shared" ref="I29:N29" si="0">H29*(1+I28)</f>
        <v>1</v>
      </c>
      <c r="J29" s="1030">
        <f t="shared" si="0"/>
        <v>1</v>
      </c>
      <c r="K29" s="1030">
        <f t="shared" si="0"/>
        <v>1</v>
      </c>
      <c r="L29" s="1030">
        <f t="shared" si="0"/>
        <v>1</v>
      </c>
      <c r="M29" s="1030">
        <f t="shared" si="0"/>
        <v>1</v>
      </c>
      <c r="N29" s="1030">
        <f t="shared" si="0"/>
        <v>1</v>
      </c>
      <c r="O29" s="1030">
        <f>N29*(1+N28)</f>
        <v>1</v>
      </c>
      <c r="P29" s="1030">
        <f>O29*(1+N28)</f>
        <v>1</v>
      </c>
      <c r="Q29" s="1030">
        <f>P29*(1+N28)</f>
        <v>1</v>
      </c>
      <c r="R29" s="1030">
        <f>Q29*(1+N28)</f>
        <v>1</v>
      </c>
      <c r="S29" s="1030">
        <f>R29*(1+N28)</f>
        <v>1</v>
      </c>
      <c r="T29" s="238" t="s">
        <v>685</v>
      </c>
    </row>
    <row r="30" spans="1:22" ht="14" customHeight="1" x14ac:dyDescent="0.15">
      <c r="A30" s="238" t="s">
        <v>686</v>
      </c>
      <c r="E30" s="1031"/>
      <c r="F30" s="468"/>
      <c r="G30" s="1032"/>
      <c r="H30" s="606">
        <f>IF(B26&lt;1,"--",H19/H29)</f>
        <v>531193.90700000001</v>
      </c>
      <c r="I30" s="606">
        <f>IF(B26&lt;2,"--",I19/I29)</f>
        <v>0</v>
      </c>
      <c r="J30" s="606">
        <f>IF(B26&lt;3,"--",J19/J29)</f>
        <v>0</v>
      </c>
      <c r="K30" s="606">
        <f>IF(B26&lt;4,"--",K19/K29)</f>
        <v>0</v>
      </c>
      <c r="L30" s="606">
        <f>IF(B26&lt;5,"--",L19/L29)</f>
        <v>0</v>
      </c>
      <c r="M30" s="606">
        <f>IF(B26&lt;6,"--",M19/M29)</f>
        <v>0</v>
      </c>
      <c r="N30" s="606">
        <f>IF(B26&lt;7,"--",N19/N29)</f>
        <v>0</v>
      </c>
      <c r="O30" s="606">
        <f>IF(B26&lt;8,"--",O19/O29)</f>
        <v>0</v>
      </c>
      <c r="P30" s="606">
        <f>IF(B26&lt;9,"--",P19/P29)</f>
        <v>0</v>
      </c>
      <c r="Q30" s="606">
        <f>IF(B26&lt;10,"--",Q19/Q29)</f>
        <v>0</v>
      </c>
      <c r="R30" s="606">
        <f>IF(B26&lt;11,"--",R19/R29)</f>
        <v>0</v>
      </c>
      <c r="S30" s="606">
        <f>IF(B26&lt;12,"--",S19/S29)</f>
        <v>0</v>
      </c>
      <c r="T30" s="238" t="s">
        <v>687</v>
      </c>
    </row>
    <row r="31" spans="1:22" ht="14" customHeight="1" x14ac:dyDescent="0.15">
      <c r="A31" s="1033" t="s">
        <v>701</v>
      </c>
      <c r="B31" s="1033"/>
      <c r="E31" s="1031"/>
      <c r="F31" s="468"/>
      <c r="G31" s="1032"/>
      <c r="H31" s="1034">
        <f>IF(B26&lt;1,"--",H30)</f>
        <v>531193.90700000001</v>
      </c>
      <c r="I31" s="1034">
        <f>IF(B26&lt;2,"--",H31+I30)</f>
        <v>531193.90700000001</v>
      </c>
      <c r="J31" s="1034">
        <f>IF(B26&lt;3,"--",I31+J30)</f>
        <v>531193.90700000001</v>
      </c>
      <c r="K31" s="1034">
        <f>IF(B26&lt;4,"--",J31+K30)</f>
        <v>531193.90700000001</v>
      </c>
      <c r="L31" s="1034">
        <f>IF(B26&lt;5,"--",K31+L30)</f>
        <v>531193.90700000001</v>
      </c>
      <c r="M31" s="1034">
        <f>IF(B26&lt;6,"--",L31+M30)</f>
        <v>531193.90700000001</v>
      </c>
      <c r="N31" s="1034">
        <f>IF(B26&lt;7,"--",M31+N30)</f>
        <v>531193.90700000001</v>
      </c>
      <c r="O31" s="1034">
        <f>IF(B26&lt;8,"--",N31+O30)</f>
        <v>531193.90700000001</v>
      </c>
      <c r="P31" s="1034">
        <f>IF(B26&lt;9,"--",O31+P30)</f>
        <v>531193.90700000001</v>
      </c>
      <c r="Q31" s="1034">
        <f>IF(B26&lt;10,"--",P31+Q30)</f>
        <v>531193.90700000001</v>
      </c>
      <c r="R31" s="1034">
        <f>IF(B26&lt;11,"--",Q31+R30)</f>
        <v>531193.90700000001</v>
      </c>
      <c r="S31" s="1034">
        <f>IF(B26&lt;12,"--",R31+S30)</f>
        <v>531193.90700000001</v>
      </c>
      <c r="T31" s="1033" t="s">
        <v>701</v>
      </c>
      <c r="U31" s="1035"/>
      <c r="V31" s="1035"/>
    </row>
    <row r="32" spans="1:22" ht="14" customHeight="1" x14ac:dyDescent="0.15">
      <c r="A32" s="238" t="s">
        <v>688</v>
      </c>
      <c r="E32" s="1036" t="s">
        <v>444</v>
      </c>
      <c r="F32" s="1037"/>
      <c r="G32" s="1038"/>
      <c r="H32" s="468" t="str">
        <f>IF(B26=1,"Oui","Non")</f>
        <v>Non</v>
      </c>
      <c r="I32" s="468" t="str">
        <f>IF(B26=2,"Oui","Non")</f>
        <v>Non</v>
      </c>
      <c r="J32" s="468" t="str">
        <f>IF(B26=3,"Oui","Non")</f>
        <v>Non</v>
      </c>
      <c r="K32" s="468" t="str">
        <f>IF(B26=4,"Oui","Non")</f>
        <v>Non</v>
      </c>
      <c r="L32" s="468" t="str">
        <f>IF(B26=5,"Oui","Non")</f>
        <v>Non</v>
      </c>
      <c r="M32" s="468" t="str">
        <f>IF(B26=6,"Oui","Non")</f>
        <v>Non</v>
      </c>
      <c r="N32" s="468" t="str">
        <f>IF(B26=7,"Oui","Non")</f>
        <v>Non</v>
      </c>
      <c r="O32" s="468" t="str">
        <f>IF(B26=8,"Oui","Non")</f>
        <v>Non</v>
      </c>
      <c r="P32" s="468" t="str">
        <f>IF(B26=9,"Oui","Non")</f>
        <v>Non</v>
      </c>
      <c r="Q32" s="468" t="str">
        <f>IF(B26=10,"Oui","Non")</f>
        <v>Non</v>
      </c>
      <c r="R32" s="468" t="str">
        <f>IF(B26=11,"Oui","Non")</f>
        <v>Non</v>
      </c>
      <c r="S32" s="468" t="str">
        <f>IF(B26=12,"Oui","Non")</f>
        <v>Non</v>
      </c>
      <c r="T32" s="238" t="s">
        <v>688</v>
      </c>
    </row>
    <row r="33" spans="1:20" ht="14" customHeight="1" x14ac:dyDescent="0.15">
      <c r="A33" s="238" t="s">
        <v>702</v>
      </c>
      <c r="E33" s="1031"/>
      <c r="F33" s="468"/>
      <c r="G33" s="1032"/>
      <c r="H33" s="606">
        <f>IF(B26&lt;1,"--",H22/H29)</f>
        <v>531193.90700000001</v>
      </c>
      <c r="I33" s="606">
        <f>IF(B26&lt;2,"--",I22/I29)</f>
        <v>0</v>
      </c>
      <c r="J33" s="606">
        <f>IF(B26&lt;3,"--",J22/J29)</f>
        <v>0</v>
      </c>
      <c r="K33" s="606">
        <f>IF(B26&lt;4,"--",K22/K29)</f>
        <v>0</v>
      </c>
      <c r="L33" s="606">
        <f>IF(B26&lt;5,"--",L22/L29)</f>
        <v>0</v>
      </c>
      <c r="M33" s="606">
        <f>IF(B26&lt;6,"--",M22/M29)</f>
        <v>0</v>
      </c>
      <c r="N33" s="606">
        <f>IF(B26&lt;7,"--",N22/N29)</f>
        <v>0</v>
      </c>
      <c r="O33" s="468"/>
      <c r="P33" s="468"/>
      <c r="Q33" s="468"/>
      <c r="R33" s="468"/>
      <c r="S33" s="468"/>
      <c r="T33" s="238" t="s">
        <v>702</v>
      </c>
    </row>
    <row r="34" spans="1:20" ht="13.5" customHeight="1" x14ac:dyDescent="0.15">
      <c r="A34" s="255" t="s">
        <v>703</v>
      </c>
      <c r="E34" s="1039"/>
      <c r="F34" s="1040"/>
      <c r="G34" s="1041"/>
      <c r="H34" s="606">
        <f>IF(B26&lt;1,"--",H33)</f>
        <v>531193.90700000001</v>
      </c>
      <c r="I34" s="606">
        <f>IF(B26&lt;2,"--",H34+I33)</f>
        <v>531193.90700000001</v>
      </c>
      <c r="J34" s="606">
        <f>IF(B26&lt;3,"--",I34+J33)</f>
        <v>531193.90700000001</v>
      </c>
      <c r="K34" s="606">
        <f>IF(B26&lt;4,"--",J34+K33)</f>
        <v>531193.90700000001</v>
      </c>
      <c r="L34" s="606">
        <f>IF(B26&lt;5,"--",K34+L33)</f>
        <v>531193.90700000001</v>
      </c>
      <c r="M34" s="606">
        <f>IF(B26&lt;6,"--",L34+M33)</f>
        <v>531193.90700000001</v>
      </c>
      <c r="N34" s="606">
        <f>IF(B26&lt;7,"--",M34+N33)</f>
        <v>531193.90700000001</v>
      </c>
      <c r="O34" s="468"/>
      <c r="P34" s="468"/>
      <c r="Q34" s="468"/>
      <c r="R34" s="468"/>
      <c r="S34" s="468"/>
      <c r="T34" s="238" t="s">
        <v>704</v>
      </c>
    </row>
    <row r="35" spans="1:20" ht="14" hidden="1" customHeight="1" x14ac:dyDescent="0.15">
      <c r="A35" s="995" t="s">
        <v>689</v>
      </c>
      <c r="E35" s="1031"/>
      <c r="F35" s="468"/>
      <c r="G35" s="1032"/>
      <c r="H35" s="680">
        <f>IF(B26=1,H31,0)</f>
        <v>0</v>
      </c>
      <c r="I35" s="680">
        <f>IF(B26=2,I31,0)</f>
        <v>0</v>
      </c>
      <c r="J35" s="680">
        <f>IF(B26=3,J31,0)</f>
        <v>0</v>
      </c>
      <c r="K35" s="680">
        <f>IF(B26=4,K31,0)</f>
        <v>0</v>
      </c>
      <c r="L35" s="680">
        <f>IF(B26=5,L31,0)</f>
        <v>0</v>
      </c>
      <c r="M35" s="680">
        <f>IF(B26=6,M31,0)</f>
        <v>0</v>
      </c>
      <c r="N35" s="680">
        <f>IF(B26=7,N31,0)</f>
        <v>0</v>
      </c>
      <c r="O35" s="680">
        <f>IF(B26=8,O31,0)</f>
        <v>0</v>
      </c>
      <c r="P35" s="680">
        <f>IF(B26=9,P31,0)</f>
        <v>0</v>
      </c>
      <c r="Q35" s="680">
        <f>IF(B26=10,Q31,0)</f>
        <v>0</v>
      </c>
      <c r="R35" s="680">
        <f>IF(B26=11,R31,0)</f>
        <v>0</v>
      </c>
      <c r="S35" s="680">
        <f>IF(B26=12,S31,0)</f>
        <v>0</v>
      </c>
      <c r="T35" s="995" t="s">
        <v>690</v>
      </c>
    </row>
    <row r="36" spans="1:20" ht="14" hidden="1" customHeight="1" x14ac:dyDescent="0.15">
      <c r="A36" s="995" t="s">
        <v>689</v>
      </c>
      <c r="E36" s="1039"/>
      <c r="F36" s="1040"/>
      <c r="G36" s="1041"/>
      <c r="H36" s="680">
        <f>IF(B26=1,H34,0)</f>
        <v>0</v>
      </c>
      <c r="I36" s="680">
        <f>IF(B26=2,I34,0)</f>
        <v>0</v>
      </c>
      <c r="J36" s="680">
        <f>IF(B26=3,J34,0)</f>
        <v>0</v>
      </c>
      <c r="K36" s="680">
        <f>IF(B26=4,K34,0)</f>
        <v>0</v>
      </c>
      <c r="L36" s="680">
        <f>IF(B26=5,L34,0)</f>
        <v>0</v>
      </c>
      <c r="M36" s="680">
        <f>IF(B26=6,M34,0)</f>
        <v>0</v>
      </c>
      <c r="N36" s="680">
        <f>IF(B26=7,N34,0)</f>
        <v>0</v>
      </c>
      <c r="O36" s="1042"/>
      <c r="P36" s="1042"/>
      <c r="Q36" s="479"/>
      <c r="R36" s="479"/>
      <c r="S36" s="479"/>
      <c r="T36" s="995" t="s">
        <v>690</v>
      </c>
    </row>
    <row r="37" spans="1:20" s="255" customFormat="1" ht="14" customHeight="1" x14ac:dyDescent="0.15">
      <c r="E37" s="614"/>
      <c r="F37" s="614"/>
      <c r="G37" s="614"/>
      <c r="H37" s="614"/>
      <c r="I37" s="614"/>
      <c r="J37" s="614"/>
      <c r="K37" s="614"/>
      <c r="L37" s="614"/>
      <c r="M37" s="614"/>
      <c r="N37" s="614"/>
    </row>
    <row r="38" spans="1:20" s="255" customFormat="1" ht="7.5" customHeight="1" thickBot="1" x14ac:dyDescent="0.2">
      <c r="E38" s="614"/>
      <c r="F38" s="614"/>
      <c r="G38" s="614"/>
      <c r="H38" s="614"/>
      <c r="I38" s="614"/>
      <c r="J38" s="614"/>
      <c r="K38" s="614"/>
      <c r="L38" s="614"/>
      <c r="M38" s="614"/>
      <c r="N38" s="614"/>
    </row>
    <row r="39" spans="1:20" s="255" customFormat="1" ht="19.5" customHeight="1" thickBot="1" x14ac:dyDescent="0.2">
      <c r="A39" s="510" t="s">
        <v>691</v>
      </c>
      <c r="B39" s="1043" t="str">
        <f>IF(OR(B26="A saisir",B26=""),"",IF(B26&gt;12,"  12 max !",H35+I35+J35+K35+L35+M35+N35+O35+P35+Q35+R35+S35))</f>
        <v/>
      </c>
      <c r="C39" s="1044"/>
      <c r="D39" s="1044"/>
      <c r="E39" s="1045" t="s">
        <v>692</v>
      </c>
      <c r="F39" s="614"/>
      <c r="G39" s="614"/>
      <c r="H39" s="614"/>
      <c r="I39" s="614"/>
      <c r="J39" s="614"/>
      <c r="K39" s="614"/>
      <c r="L39" s="614"/>
      <c r="M39" s="614"/>
      <c r="N39" s="614"/>
    </row>
    <row r="40" spans="1:20" s="544" customFormat="1" ht="18" customHeight="1" thickBot="1" x14ac:dyDescent="0.2">
      <c r="E40" s="996"/>
      <c r="F40" s="996"/>
      <c r="G40" s="996"/>
      <c r="H40" s="996"/>
      <c r="I40" s="996"/>
      <c r="J40" s="996"/>
      <c r="K40" s="996"/>
      <c r="L40" s="996"/>
      <c r="M40" s="996"/>
      <c r="N40" s="996"/>
    </row>
    <row r="41" spans="1:20" s="255" customFormat="1" ht="19.5" customHeight="1" thickBot="1" x14ac:dyDescent="0.2">
      <c r="A41" s="510" t="s">
        <v>693</v>
      </c>
      <c r="B41" s="1046" t="str">
        <f>IF(OR(B26="A saisir",B26=""),"",IF(B26&gt;7,"   7 max !",H36+I36+J36+K36+L36+M36+N36+O36+P36))</f>
        <v/>
      </c>
      <c r="C41" s="1044"/>
      <c r="D41" s="1044"/>
      <c r="E41" s="1045" t="s">
        <v>694</v>
      </c>
      <c r="N41" s="1047">
        <f ca="1">NOW()</f>
        <v>46304.722831944448</v>
      </c>
    </row>
    <row r="42" spans="1:20" s="255" customFormat="1" ht="14" customHeight="1" x14ac:dyDescent="0.15">
      <c r="A42" s="518"/>
      <c r="B42" s="518"/>
      <c r="C42" s="518"/>
      <c r="D42" s="518"/>
      <c r="E42" s="310"/>
      <c r="F42" s="310"/>
      <c r="G42" s="310"/>
      <c r="H42" s="518"/>
      <c r="I42" s="518"/>
      <c r="J42" s="518"/>
      <c r="K42" s="518"/>
      <c r="L42" s="518"/>
      <c r="M42" s="518"/>
      <c r="N42" s="296" t="s">
        <v>102</v>
      </c>
    </row>
    <row r="43" spans="1:20" ht="14" customHeight="1" x14ac:dyDescent="0.15">
      <c r="N43" s="296"/>
    </row>
  </sheetData>
  <phoneticPr fontId="10" type="noConversion"/>
  <printOptions horizontalCentered="1" verticalCentered="1" gridLines="1"/>
  <pageMargins left="0" right="0" top="0" bottom="0" header="0" footer="0"/>
  <pageSetup paperSize="9" scale="83" orientation="landscape" horizontalDpi="4294967292" verticalDpi="4294967292"/>
  <headerFooter alignWithMargins="0"/>
  <rowBreaks count="1" manualBreakCount="1">
    <brk id="60" max="65535" man="1"/>
  </row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04040"/>
    <pageSetUpPr fitToPage="1"/>
  </sheetPr>
  <dimension ref="A1:M55"/>
  <sheetViews>
    <sheetView showGridLines="0" topLeftCell="A5" zoomScale="75" workbookViewId="0">
      <selection activeCell="B71" sqref="B71"/>
    </sheetView>
  </sheetViews>
  <sheetFormatPr baseColWidth="10" defaultColWidth="11.5" defaultRowHeight="13" x14ac:dyDescent="0.15"/>
  <cols>
    <col min="1" max="1" width="41.6640625" style="1050" customWidth="1"/>
    <col min="2" max="12" width="12.6640625" style="1050" customWidth="1"/>
    <col min="13" max="16384" width="11.5" style="1050"/>
  </cols>
  <sheetData>
    <row r="1" spans="1:13" ht="14.25" customHeight="1" x14ac:dyDescent="0.15">
      <c r="A1" s="1048" t="str">
        <f>CONCATENATE(" Unité de compte : ",PrSept!P21)</f>
        <v xml:space="preserve"> Unité de compte : KF</v>
      </c>
      <c r="B1" s="1049"/>
      <c r="C1" s="1049"/>
      <c r="D1" s="1049"/>
      <c r="E1" s="1049"/>
      <c r="F1" s="1049"/>
      <c r="G1" s="1049"/>
      <c r="H1" s="1049"/>
      <c r="I1" s="1049"/>
      <c r="J1" s="1049"/>
      <c r="K1" s="1049"/>
      <c r="L1" s="1049"/>
    </row>
    <row r="2" spans="1:13" ht="14.25" customHeight="1" x14ac:dyDescent="0.15">
      <c r="A2" s="1049"/>
      <c r="B2" s="1049"/>
      <c r="C2" s="1049"/>
      <c r="D2" s="1049"/>
      <c r="E2" s="1049"/>
      <c r="F2" s="1049"/>
      <c r="G2" s="1049"/>
      <c r="H2" s="1049"/>
      <c r="I2" s="1049"/>
      <c r="J2" s="1049"/>
      <c r="K2" s="1049"/>
      <c r="L2" s="1049"/>
    </row>
    <row r="3" spans="1:13" s="1049" customFormat="1" ht="14.25" customHeight="1" x14ac:dyDescent="0.15">
      <c r="A3" s="296" t="s">
        <v>350</v>
      </c>
      <c r="B3" s="949" t="str">
        <f>IF(PrSept!B19="Saisir sur Saisie ou Etatsfin",CONCATENATE(PrSept!B19," ou PrSept"),PrSept!B19)</f>
        <v>MERIPLAST</v>
      </c>
      <c r="C3" s="1051"/>
      <c r="D3" s="300"/>
      <c r="J3" s="1052" t="s">
        <v>110</v>
      </c>
      <c r="K3" s="1053">
        <f ca="1">TODAY()</f>
        <v>46304</v>
      </c>
      <c r="L3" s="1054"/>
    </row>
    <row r="4" spans="1:13" s="1049" customFormat="1" ht="14.25" customHeight="1" x14ac:dyDescent="0.15">
      <c r="A4" s="296" t="s">
        <v>351</v>
      </c>
      <c r="B4" s="949" t="str">
        <f>IF(PrSept!B20="Saisir sur Saisie ou Etatsfin",CONCATENATE(PrSept!B20," ou PrSept"),PrSept!B20)</f>
        <v>MERIPLAST</v>
      </c>
      <c r="C4" s="1051"/>
      <c r="D4" s="300"/>
      <c r="E4" s="1055"/>
      <c r="F4" s="1055"/>
      <c r="G4" s="1055"/>
      <c r="H4" s="1055"/>
      <c r="I4" s="1055"/>
      <c r="J4" s="1055"/>
      <c r="K4" s="1055"/>
      <c r="L4" s="1055"/>
      <c r="M4" s="1055"/>
    </row>
    <row r="5" spans="1:13" s="1057" customFormat="1" ht="14" customHeight="1" x14ac:dyDescent="0.2">
      <c r="A5" s="1056"/>
      <c r="B5" s="1056"/>
      <c r="C5" s="1056"/>
      <c r="D5" s="1056"/>
      <c r="E5" s="1056"/>
      <c r="F5" s="1056"/>
      <c r="G5" s="1056"/>
      <c r="J5" s="301" t="s">
        <v>352</v>
      </c>
      <c r="K5" s="949" t="str">
        <f>PrSept!M20</f>
        <v>A saisir sur Hypo</v>
      </c>
      <c r="L5" s="1058"/>
    </row>
    <row r="6" spans="1:13" s="1059" customFormat="1" ht="14" customHeight="1" x14ac:dyDescent="0.15">
      <c r="L6" s="1060"/>
    </row>
    <row r="7" spans="1:13" s="1059" customFormat="1" ht="14" customHeight="1" x14ac:dyDescent="0.15">
      <c r="L7" s="1060"/>
    </row>
    <row r="8" spans="1:13" s="592" customFormat="1" ht="14" customHeight="1" x14ac:dyDescent="0.15">
      <c r="C8" s="1061"/>
      <c r="D8" s="1061"/>
      <c r="E8" s="1061"/>
      <c r="F8" s="1061"/>
    </row>
    <row r="9" spans="1:13" s="565" customFormat="1" ht="14" customHeight="1" x14ac:dyDescent="0.15">
      <c r="C9" s="1062"/>
      <c r="D9" s="1062"/>
      <c r="E9" s="1062"/>
      <c r="F9" s="1062"/>
    </row>
    <row r="10" spans="1:13" s="565" customFormat="1" ht="14" customHeight="1" x14ac:dyDescent="0.15">
      <c r="C10" s="1062"/>
      <c r="D10" s="1062"/>
      <c r="E10" s="1062"/>
      <c r="F10" s="1062"/>
    </row>
    <row r="11" spans="1:13" s="565" customFormat="1" ht="14" customHeight="1" x14ac:dyDescent="0.15">
      <c r="C11" s="1062"/>
      <c r="D11" s="1062"/>
      <c r="E11" s="1062"/>
      <c r="F11" s="1062"/>
    </row>
    <row r="12" spans="1:13" s="565" customFormat="1" ht="14" customHeight="1" x14ac:dyDescent="0.15">
      <c r="C12" s="1062"/>
      <c r="D12" s="1062"/>
      <c r="E12" s="1062"/>
      <c r="F12" s="1062"/>
    </row>
    <row r="13" spans="1:13" s="565" customFormat="1" ht="14.25" customHeight="1" x14ac:dyDescent="0.15">
      <c r="C13" s="1062"/>
      <c r="D13" s="1062"/>
      <c r="E13" s="1062"/>
      <c r="F13" s="1062"/>
    </row>
    <row r="14" spans="1:13" s="565" customFormat="1" ht="14.25" customHeight="1" x14ac:dyDescent="0.15">
      <c r="C14" s="1062"/>
      <c r="D14" s="1062"/>
      <c r="E14" s="1062"/>
      <c r="F14" s="1062"/>
    </row>
    <row r="15" spans="1:13" s="565" customFormat="1" ht="14.25" customHeight="1" x14ac:dyDescent="0.15">
      <c r="C15" s="1062"/>
      <c r="D15" s="1062"/>
      <c r="E15" s="1062"/>
      <c r="F15" s="1062"/>
    </row>
    <row r="16" spans="1:13" s="565" customFormat="1" ht="14.25" customHeight="1" x14ac:dyDescent="0.15">
      <c r="C16" s="1062"/>
      <c r="D16" s="1062"/>
      <c r="E16" s="1062"/>
      <c r="F16" s="1062"/>
    </row>
    <row r="17" spans="3:6" s="565" customFormat="1" ht="13.5" customHeight="1" x14ac:dyDescent="0.15">
      <c r="C17" s="1062"/>
      <c r="D17" s="1062"/>
      <c r="E17" s="1062"/>
      <c r="F17" s="1062"/>
    </row>
    <row r="18" spans="3:6" s="565" customFormat="1" ht="14.25" customHeight="1" x14ac:dyDescent="0.15">
      <c r="C18" s="1062"/>
      <c r="D18" s="1062"/>
      <c r="E18" s="1062"/>
      <c r="F18" s="1062"/>
    </row>
    <row r="19" spans="3:6" s="565" customFormat="1" ht="14.25" customHeight="1" x14ac:dyDescent="0.15">
      <c r="C19" s="1062"/>
      <c r="D19" s="1062"/>
      <c r="E19" s="1062"/>
      <c r="F19" s="1062"/>
    </row>
    <row r="20" spans="3:6" s="565" customFormat="1" ht="14.25" customHeight="1" x14ac:dyDescent="0.15">
      <c r="C20" s="1062"/>
      <c r="D20" s="1062"/>
      <c r="E20" s="1062"/>
      <c r="F20" s="1062"/>
    </row>
    <row r="21" spans="3:6" s="565" customFormat="1" ht="14.25" customHeight="1" x14ac:dyDescent="0.15">
      <c r="C21" s="1062"/>
      <c r="D21" s="1062"/>
      <c r="E21" s="1062"/>
      <c r="F21" s="1062"/>
    </row>
    <row r="22" spans="3:6" s="565" customFormat="1" ht="14.25" customHeight="1" x14ac:dyDescent="0.15">
      <c r="C22" s="1062"/>
      <c r="D22" s="1062"/>
      <c r="E22" s="1062"/>
      <c r="F22" s="1062"/>
    </row>
    <row r="23" spans="3:6" s="565" customFormat="1" ht="14.25" customHeight="1" x14ac:dyDescent="0.15">
      <c r="C23" s="1062"/>
      <c r="D23" s="1062"/>
      <c r="E23" s="1062"/>
      <c r="F23" s="1062"/>
    </row>
    <row r="24" spans="3:6" s="565" customFormat="1" ht="14.25" customHeight="1" x14ac:dyDescent="0.15">
      <c r="C24" s="1062"/>
      <c r="D24" s="1062"/>
      <c r="E24" s="1062"/>
      <c r="F24" s="1062"/>
    </row>
    <row r="25" spans="3:6" s="565" customFormat="1" ht="14.25" customHeight="1" x14ac:dyDescent="0.15">
      <c r="C25" s="1062"/>
      <c r="D25" s="1062"/>
      <c r="E25" s="1062"/>
      <c r="F25" s="1062"/>
    </row>
    <row r="26" spans="3:6" s="565" customFormat="1" ht="14.25" customHeight="1" x14ac:dyDescent="0.15">
      <c r="C26" s="1062"/>
      <c r="D26" s="1062"/>
      <c r="E26" s="1062"/>
      <c r="F26" s="1062"/>
    </row>
    <row r="27" spans="3:6" s="565" customFormat="1" ht="14.25" customHeight="1" x14ac:dyDescent="0.15">
      <c r="C27" s="1062"/>
      <c r="D27" s="1062"/>
      <c r="E27" s="1062"/>
      <c r="F27" s="1062"/>
    </row>
    <row r="28" spans="3:6" s="565" customFormat="1" ht="14.25" customHeight="1" x14ac:dyDescent="0.15">
      <c r="C28" s="1062"/>
      <c r="D28" s="1062"/>
      <c r="E28" s="1062"/>
      <c r="F28" s="1062"/>
    </row>
    <row r="29" spans="3:6" s="565" customFormat="1" ht="14.25" customHeight="1" x14ac:dyDescent="0.15">
      <c r="C29" s="1062"/>
      <c r="D29" s="1062"/>
      <c r="E29" s="1062"/>
      <c r="F29" s="1062"/>
    </row>
    <row r="30" spans="3:6" s="565" customFormat="1" ht="14.25" customHeight="1" x14ac:dyDescent="0.15">
      <c r="C30" s="1062"/>
      <c r="D30" s="1062"/>
      <c r="E30" s="1062"/>
      <c r="F30" s="1062"/>
    </row>
    <row r="31" spans="3:6" s="565" customFormat="1" ht="14.25" customHeight="1" x14ac:dyDescent="0.15">
      <c r="C31" s="1062"/>
      <c r="D31" s="1062"/>
      <c r="E31" s="1062"/>
      <c r="F31" s="1062"/>
    </row>
    <row r="32" spans="3:6" s="565" customFormat="1" ht="14.25" customHeight="1" x14ac:dyDescent="0.15">
      <c r="C32" s="1062"/>
      <c r="D32" s="1062"/>
      <c r="E32" s="1062"/>
      <c r="F32" s="1062"/>
    </row>
    <row r="33" spans="3:6" s="565" customFormat="1" ht="14.25" customHeight="1" x14ac:dyDescent="0.15">
      <c r="C33" s="1062"/>
      <c r="D33" s="1062"/>
      <c r="E33" s="1062"/>
      <c r="F33" s="1062"/>
    </row>
    <row r="34" spans="3:6" s="565" customFormat="1" ht="14.25" customHeight="1" x14ac:dyDescent="0.15">
      <c r="C34" s="1062"/>
      <c r="D34" s="1062"/>
      <c r="E34" s="1062"/>
      <c r="F34" s="1062"/>
    </row>
    <row r="35" spans="3:6" s="565" customFormat="1" ht="14.25" customHeight="1" x14ac:dyDescent="0.15">
      <c r="C35" s="1062"/>
      <c r="D35" s="1062"/>
      <c r="E35" s="1062"/>
      <c r="F35" s="1062"/>
    </row>
    <row r="36" spans="3:6" s="565" customFormat="1" ht="14.25" customHeight="1" x14ac:dyDescent="0.15">
      <c r="C36" s="1062"/>
      <c r="D36" s="1062"/>
      <c r="E36" s="1062"/>
      <c r="F36" s="1062"/>
    </row>
    <row r="37" spans="3:6" s="565" customFormat="1" ht="14.25" customHeight="1" x14ac:dyDescent="0.15">
      <c r="C37" s="1062"/>
      <c r="D37" s="1062"/>
      <c r="E37" s="1062"/>
      <c r="F37" s="1062"/>
    </row>
    <row r="38" spans="3:6" s="565" customFormat="1" ht="14.25" customHeight="1" x14ac:dyDescent="0.15">
      <c r="C38" s="1062"/>
      <c r="D38" s="1062"/>
      <c r="E38" s="1062"/>
      <c r="F38" s="1062"/>
    </row>
    <row r="39" spans="3:6" s="565" customFormat="1" ht="14.25" customHeight="1" x14ac:dyDescent="0.15">
      <c r="C39" s="1062"/>
      <c r="D39" s="1062"/>
      <c r="E39" s="1062"/>
      <c r="F39" s="1062"/>
    </row>
    <row r="40" spans="3:6" s="565" customFormat="1" ht="14.25" customHeight="1" x14ac:dyDescent="0.15">
      <c r="C40" s="1062"/>
      <c r="D40" s="1062"/>
      <c r="E40" s="1062"/>
      <c r="F40" s="1062"/>
    </row>
    <row r="41" spans="3:6" s="565" customFormat="1" ht="14.25" customHeight="1" x14ac:dyDescent="0.15">
      <c r="C41" s="1062"/>
      <c r="D41" s="1062"/>
      <c r="E41" s="1062"/>
      <c r="F41" s="1062"/>
    </row>
    <row r="42" spans="3:6" s="565" customFormat="1" ht="14.25" customHeight="1" x14ac:dyDescent="0.15">
      <c r="C42" s="1062"/>
      <c r="D42" s="1062"/>
      <c r="E42" s="1062"/>
      <c r="F42" s="1062"/>
    </row>
    <row r="43" spans="3:6" s="565" customFormat="1" ht="14.25" customHeight="1" x14ac:dyDescent="0.15">
      <c r="C43" s="1062"/>
      <c r="D43" s="1062"/>
      <c r="E43" s="1062"/>
      <c r="F43" s="1062"/>
    </row>
    <row r="44" spans="3:6" s="565" customFormat="1" ht="14.25" customHeight="1" x14ac:dyDescent="0.15">
      <c r="C44" s="1062"/>
      <c r="D44" s="1062"/>
      <c r="E44" s="1062"/>
      <c r="F44" s="1062"/>
    </row>
    <row r="45" spans="3:6" s="565" customFormat="1" ht="14" customHeight="1" x14ac:dyDescent="0.15">
      <c r="C45" s="1062"/>
      <c r="D45" s="1062"/>
      <c r="E45" s="1062"/>
      <c r="F45" s="1062"/>
    </row>
    <row r="46" spans="3:6" s="565" customFormat="1" ht="14" customHeight="1" x14ac:dyDescent="0.15">
      <c r="C46" s="1062"/>
      <c r="D46" s="1062"/>
      <c r="E46" s="1062"/>
      <c r="F46" s="1062"/>
    </row>
    <row r="47" spans="3:6" s="565" customFormat="1" ht="13.5" customHeight="1" x14ac:dyDescent="0.15">
      <c r="C47" s="1062"/>
      <c r="D47" s="1062"/>
      <c r="E47" s="1062"/>
      <c r="F47" s="1062"/>
    </row>
    <row r="48" spans="3:6" s="565" customFormat="1" ht="14" customHeight="1" x14ac:dyDescent="0.15">
      <c r="C48" s="1062"/>
      <c r="D48" s="1062"/>
      <c r="E48" s="1062"/>
      <c r="F48" s="1062"/>
    </row>
    <row r="49" spans="1:12" s="565" customFormat="1" ht="14" customHeight="1" x14ac:dyDescent="0.15">
      <c r="C49" s="1062"/>
      <c r="D49" s="1062"/>
      <c r="E49" s="1062"/>
      <c r="F49" s="1062"/>
    </row>
    <row r="50" spans="1:12" s="565" customFormat="1" ht="14" customHeight="1" x14ac:dyDescent="0.15">
      <c r="C50" s="1062"/>
      <c r="D50" s="1062"/>
      <c r="E50" s="1062"/>
      <c r="F50" s="1062"/>
    </row>
    <row r="51" spans="1:12" s="565" customFormat="1" ht="14" customHeight="1" x14ac:dyDescent="0.15">
      <c r="C51" s="1062"/>
      <c r="D51" s="1062"/>
      <c r="E51" s="1062"/>
      <c r="F51" s="1062"/>
    </row>
    <row r="52" spans="1:12" s="565" customFormat="1" ht="14" customHeight="1" x14ac:dyDescent="0.15">
      <c r="C52" s="1063"/>
      <c r="D52" s="1063"/>
      <c r="E52" s="1063"/>
      <c r="F52" s="1063"/>
      <c r="L52" s="1064">
        <f ca="1">NOW()</f>
        <v>46304.722831944448</v>
      </c>
    </row>
    <row r="53" spans="1:12" s="565" customFormat="1" ht="14" customHeight="1" x14ac:dyDescent="0.15">
      <c r="A53" s="1065"/>
      <c r="B53" s="1065"/>
      <c r="C53" s="1066"/>
      <c r="D53" s="1066"/>
      <c r="E53" s="1066"/>
      <c r="F53" s="1066"/>
      <c r="G53" s="1065"/>
      <c r="H53" s="1065"/>
      <c r="I53" s="1065"/>
      <c r="J53" s="1065"/>
      <c r="K53" s="1065"/>
      <c r="L53" s="1067" t="s">
        <v>102</v>
      </c>
    </row>
    <row r="54" spans="1:12" ht="14.25" customHeight="1" x14ac:dyDescent="0.15"/>
    <row r="55" spans="1:12" ht="14.25" customHeight="1" x14ac:dyDescent="0.15"/>
  </sheetData>
  <phoneticPr fontId="10" type="noConversion"/>
  <printOptions horizontalCentered="1" verticalCentered="1"/>
  <pageMargins left="0" right="0" top="0" bottom="0" header="0" footer="0"/>
  <pageSetup paperSize="9" scale="81" orientation="landscape" horizontalDpi="4294967292" verticalDpi="36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10</vt:i4>
      </vt:variant>
      <vt:variant>
        <vt:lpstr>Plages nommées</vt:lpstr>
      </vt:variant>
      <vt:variant>
        <vt:i4>10</vt:i4>
      </vt:variant>
    </vt:vector>
  </HeadingPairs>
  <TitlesOfParts>
    <vt:vector size="20" baseType="lpstr">
      <vt:lpstr>Saisie actif</vt:lpstr>
      <vt:lpstr>Saisie passif</vt:lpstr>
      <vt:lpstr>Saisie TCR</vt:lpstr>
      <vt:lpstr>Saisie</vt:lpstr>
      <vt:lpstr>Etatsfin</vt:lpstr>
      <vt:lpstr>Ratios</vt:lpstr>
      <vt:lpstr>Hypo</vt:lpstr>
      <vt:lpstr>PrSept</vt:lpstr>
      <vt:lpstr>Dette</vt:lpstr>
      <vt:lpstr>Graph</vt:lpstr>
      <vt:lpstr>Dette!Zone_d_impression</vt:lpstr>
      <vt:lpstr>Etatsfin!Zone_d_impression</vt:lpstr>
      <vt:lpstr>Graph!Zone_d_impression</vt:lpstr>
      <vt:lpstr>Hypo!Zone_d_impression</vt:lpstr>
      <vt:lpstr>PrSept!Zone_d_impression</vt:lpstr>
      <vt:lpstr>Ratios!Zone_d_impression</vt:lpstr>
      <vt:lpstr>Saisie!Zone_d_impression</vt:lpstr>
      <vt:lpstr>'Saisie actif'!Zone_d_impression</vt:lpstr>
      <vt:lpstr>'Saisie passif'!Zone_d_impression</vt:lpstr>
      <vt:lpstr>'Saisie TCR'!Zone_d_impression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BANQUE</dc:creator>
  <cp:lastModifiedBy>Microsoft Office User</cp:lastModifiedBy>
  <cp:lastPrinted>2011-10-23T16:48:41Z</cp:lastPrinted>
  <dcterms:created xsi:type="dcterms:W3CDTF">1998-11-20T08:38:09Z</dcterms:created>
  <dcterms:modified xsi:type="dcterms:W3CDTF">2026-10-09T16:20:52Z</dcterms:modified>
</cp:coreProperties>
</file>