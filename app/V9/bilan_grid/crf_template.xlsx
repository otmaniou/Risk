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840" tabRatio="600" firstSheet="0" activeTab="6" autoFilterDateGrouping="1"/>
  </bookViews>
  <sheets>
    <sheet xmlns:r="http://schemas.openxmlformats.org/officeDocument/2006/relationships" name="Bilan - Actifs" sheetId="1" state="visible" r:id="rId1"/>
    <sheet xmlns:r="http://schemas.openxmlformats.org/officeDocument/2006/relationships" name="Bilan - Passifs" sheetId="2" state="visible" r:id="rId2"/>
    <sheet xmlns:r="http://schemas.openxmlformats.org/officeDocument/2006/relationships" name="Compte de résultat" sheetId="3" state="visible" r:id="rId3"/>
    <sheet xmlns:r="http://schemas.openxmlformats.org/officeDocument/2006/relationships" name="Tableau de Flux de Trésorerie" sheetId="4" state="visible" r:id="rId4"/>
    <sheet xmlns:r="http://schemas.openxmlformats.org/officeDocument/2006/relationships" name="Ratios &amp; Aggregates" sheetId="5" state="visible" r:id="rId5"/>
    <sheet xmlns:r="http://schemas.openxmlformats.org/officeDocument/2006/relationships" name="Leveraged Analysis &amp; ECB" sheetId="6" state="visible" r:id="rId6"/>
    <sheet xmlns:r="http://schemas.openxmlformats.org/officeDocument/2006/relationships" name="Rolling Cash Flow &amp; DettNe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\(0.00\);"/>
  </numFmts>
  <fonts count="8">
    <font>
      <name val="Calibri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70C0"/>
      <sz val="11"/>
    </font>
    <font>
      <name val="Arial"/>
      <family val="2"/>
      <sz val="10"/>
    </font>
    <font>
      <name val="Arial"/>
      <family val="2"/>
      <b val="1"/>
      <color rgb="FF1E2B26"/>
      <sz val="10"/>
    </font>
    <font>
      <name val="Arial"/>
      <family val="2"/>
      <color rgb="FF1E2B26"/>
      <sz val="10"/>
    </font>
    <font>
      <name val="Calibri"/>
      <family val="2"/>
      <b val="1"/>
      <color rgb="FF00B050"/>
      <sz val="11"/>
    </font>
    <font>
      <name val="Arial"/>
      <family val="2"/>
      <color rgb="FF0070C0"/>
      <sz val="10"/>
    </font>
  </fonts>
  <fills count="3">
    <fill>
      <patternFill/>
    </fill>
    <fill>
      <patternFill patternType="gray125"/>
    </fill>
    <fill>
      <patternFill patternType="solid">
        <fgColor rgb="FFEAF5EF"/>
      </patternFill>
    </fill>
  </fills>
  <borders count="2">
    <border>
      <left/>
      <right/>
      <top/>
      <bottom/>
      <diagonal/>
    </border>
    <border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4" fontId="4" fillId="2" borderId="1" applyAlignment="1" pivotButton="0" quotePrefix="0" xfId="1">
      <alignment vertical="center" wrapText="1"/>
    </xf>
    <xf numFmtId="4" fontId="5" fillId="2" borderId="1" applyAlignment="1" pivotButton="0" quotePrefix="0" xfId="1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4" fontId="5" fillId="0" borderId="1" applyAlignment="1" pivotButton="0" quotePrefix="0" xfId="1">
      <alignment vertical="center" wrapText="1"/>
    </xf>
    <xf numFmtId="4" fontId="7" fillId="0" borderId="1" applyAlignment="1" pivotButton="0" quotePrefix="0" xfId="1">
      <alignment vertical="center" wrapText="1"/>
    </xf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2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:A1048576"/>
    </sheetView>
  </sheetViews>
  <sheetFormatPr baseColWidth="10" defaultColWidth="8.83203125" defaultRowHeight="15"/>
  <cols>
    <col width="43.6640625" customWidth="1" style="8" min="1" max="1"/>
    <col width="17.1640625" customWidth="1" style="8" min="2" max="4"/>
    <col width="13" customWidth="1" style="8" min="5" max="5"/>
    <col width="4.83203125" customWidth="1" style="8" min="6" max="6"/>
    <col width="7.33203125" customWidth="1" style="8" min="7" max="7"/>
    <col width="8.83203125" customWidth="1" style="8" min="8" max="16384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>
      <c r="B15" s="1" t="n"/>
      <c r="C15" s="1" t="n"/>
      <c r="D15" s="1" t="n"/>
    </row>
    <row r="16">
      <c r="A16" t="inlineStr">
        <is>
          <t>Ecarts d'acquisition</t>
        </is>
      </c>
      <c r="B16" s="14">
        <f>IF(ROUND('Saisie actif'!R10,3)=0,"",ROUND('Saisie actif'!R10,3)/1000)</f>
        <v/>
      </c>
      <c r="C16" s="14">
        <f>IF(ROUND('Saisie actif'!O10,3)=0,"",ROUND('Saisie actif'!O10,3)/1000)</f>
        <v/>
      </c>
      <c r="D16" s="14">
        <f>IF(ROUND('Saisie actif'!L10,3)=0,"",ROUND('Saisie actif'!L10,3)/1000)</f>
        <v/>
      </c>
    </row>
    <row r="17">
      <c r="A17" t="inlineStr">
        <is>
          <t>Immobilisations incorporelles nettes</t>
        </is>
      </c>
      <c r="B17" s="14">
        <f>IF(ROUND('Saisie actif'!R11,3)=0,"",ROUND('Saisie actif'!R11,3)/1000)</f>
        <v/>
      </c>
      <c r="C17" s="14">
        <f>IF(ROUND('Saisie actif'!O11,3)=0,"",ROUND('Saisie actif'!O11,3)/1000)</f>
        <v/>
      </c>
      <c r="D17" s="14">
        <f>IF(ROUND('Saisie actif'!L11,3)=0,"",ROUND('Saisie actif'!L11,3)/1000)</f>
        <v/>
      </c>
    </row>
    <row r="18">
      <c r="A18" t="inlineStr">
        <is>
          <t xml:space="preserve">  dont coûts de développement capitalisés</t>
        </is>
      </c>
      <c r="B18" s="14" t="n"/>
      <c r="C18" s="14" t="n"/>
      <c r="D18" s="14" t="n"/>
    </row>
    <row r="19" customFormat="1" s="5">
      <c r="A19" s="2" t="inlineStr">
        <is>
          <t>Immobilisations corporelles nettes</t>
        </is>
      </c>
      <c r="B19" s="2">
        <f>IF(OR(ISNUMBER(B20),OR(ISNUMBER(B23),OR(ISNUMBER(B26),ISNUMBER(B29)))),N(B20)+N(B23)+N(B26)+N(B29),"")</f>
        <v/>
      </c>
      <c r="C19" s="2">
        <f>IF(OR(ISNUMBER(C20),OR(ISNUMBER(C23),OR(ISNUMBER(C26),ISNUMBER(C29)))),N(C20)+N(C23)+N(C26)+N(C29),"")</f>
        <v/>
      </c>
      <c r="D19" s="2">
        <f>IF(OR(ISNUMBER(D20),OR(ISNUMBER(D23),OR(ISNUMBER(D26),ISNUMBER(D29)))),N(D20)+N(D23)+N(D26)+N(D29),"")</f>
        <v/>
      </c>
    </row>
    <row r="20" s="8">
      <c r="A20" s="3" t="inlineStr">
        <is>
          <t xml:space="preserve">  dont propriété Net, Usine, Equipement</t>
        </is>
      </c>
      <c r="B20" s="3">
        <f>IF(COUNT(B21,B22)=0,"",SUM(B21,B22))</f>
        <v/>
      </c>
      <c r="C20" s="3">
        <f>IF(COUNT(C21,C22)=0,"",SUM(C21,C22))</f>
        <v/>
      </c>
      <c r="D20" s="3">
        <f>IF(COUNT(D21,D22)=0,"",SUM(D21,D22))</f>
        <v/>
      </c>
    </row>
    <row r="21">
      <c r="A21" t="inlineStr">
        <is>
          <t xml:space="preserve">    Propriété brut Usine et équipement</t>
        </is>
      </c>
      <c r="B21" s="14">
        <f>IF(ROUND('Saisie actif'!P13 + 'Saisie actif'!P14 + 'Saisie actif'!P15,3)=0,"",ROUND('Saisie actif'!P13 + 'Saisie actif'!P14 + 'Saisie actif'!P15,3)/1000)</f>
        <v/>
      </c>
      <c r="C21" s="14">
        <f>IF(ROUND('Saisie actif'!M13 + 'Saisie actif'!M14 + 'Saisie actif'!M15,3)=0,"",ROUND('Saisie actif'!M13 + 'Saisie actif'!M14 + 'Saisie actif'!M15,3)/1000)</f>
        <v/>
      </c>
      <c r="D21" s="14">
        <f>IF(ROUND('Saisie actif'!J13 + 'Saisie actif'!J14 + 'Saisie actif'!J15,3)=0,"",ROUND('Saisie actif'!J13 + 'Saisie actif'!J14 + 'Saisie actif'!J15,3)/1000)</f>
        <v/>
      </c>
    </row>
    <row r="22">
      <c r="A22" t="inlineStr">
        <is>
          <t xml:space="preserve">    Dépréciations cumulées</t>
        </is>
      </c>
      <c r="B22" s="14">
        <f>IF(ROUND(-('Saisie actif'!Q13 + 'Saisie actif'!Q14 + 'Saisie actif'!Q15),3)=0,"",ROUND(-('Saisie actif'!Q13 + 'Saisie actif'!Q14 + 'Saisie actif'!Q15),3)/1000)</f>
        <v/>
      </c>
      <c r="C22" s="14">
        <f>IF(ROUND(-('Saisie actif'!N13 + 'Saisie actif'!N14 + 'Saisie actif'!N15),3)=0,"",ROUND(-('Saisie actif'!N13 + 'Saisie actif'!N14 + 'Saisie actif'!N15),3)/1000)</f>
        <v/>
      </c>
      <c r="D22" s="14">
        <f>IF(ROUND(-('Saisie actif'!K13 + 'Saisie actif'!K14 + 'Saisie actif'!K15),3)=0,"",ROUND(-('Saisie actif'!K13 + 'Saisie actif'!K14 + 'Saisie actif'!K15),3)/1000)</f>
        <v/>
      </c>
    </row>
    <row r="23">
      <c r="A23" s="3" t="inlineStr">
        <is>
          <t xml:space="preserve">  dont Contrats de location financement - preneur</t>
        </is>
      </c>
      <c r="B23" s="3">
        <f>IF(COUNT(B24,B25)=0,"",SUM(B24,B25))</f>
        <v/>
      </c>
      <c r="C23" s="3">
        <f>IF(COUNT(C24,C25)=0,"",SUM(C24,C25))</f>
        <v/>
      </c>
      <c r="D23" s="3">
        <f>IF(COUNT(D24,D25)=0,"",SUM(D24,D25))</f>
        <v/>
      </c>
    </row>
    <row r="24">
      <c r="A24" t="inlineStr">
        <is>
          <t xml:space="preserve">    Total brut des loyers de lease</t>
        </is>
      </c>
      <c r="B24" s="14" t="n"/>
      <c r="C24" s="14" t="n"/>
      <c r="D24" s="14" t="n"/>
    </row>
    <row r="25">
      <c r="A25" t="inlineStr">
        <is>
          <t xml:space="preserve">    Dépréciations cumulées</t>
        </is>
      </c>
      <c r="B25" s="14" t="n"/>
      <c r="C25" s="14" t="n"/>
      <c r="D25" s="14" t="n"/>
    </row>
    <row r="26">
      <c r="A26" s="3" t="inlineStr">
        <is>
          <t xml:space="preserve">  dont Contrat de location simple - loueur</t>
        </is>
      </c>
      <c r="B26" s="3">
        <f>IF(COUNT(B27,B28)=0,"",SUM(B27,B28))</f>
        <v/>
      </c>
      <c r="C26" s="3">
        <f>IF(COUNT(C27,C28)=0,"",SUM(C27,C28))</f>
        <v/>
      </c>
      <c r="D26" s="3">
        <f>IF(COUNT(D27,D28)=0,"",SUM(D27,D28))</f>
        <v/>
      </c>
    </row>
    <row r="27">
      <c r="A27" t="inlineStr">
        <is>
          <t xml:space="preserve">    Total brut des loyers</t>
        </is>
      </c>
      <c r="B27" s="14" t="n"/>
      <c r="C27" s="14" t="n"/>
      <c r="D27" s="14" t="n"/>
    </row>
    <row r="28">
      <c r="A28" t="inlineStr">
        <is>
          <t xml:space="preserve">    Dépréciations cumulées</t>
        </is>
      </c>
      <c r="B28" s="14" t="n"/>
      <c r="C28" s="14" t="n"/>
      <c r="D28" s="14" t="n"/>
    </row>
    <row r="29" customFormat="1" s="5">
      <c r="A29" t="inlineStr">
        <is>
          <t>Dont autres immobilisations corporelles</t>
        </is>
      </c>
      <c r="B29" s="14">
        <f>IF(ROUND('Saisie actif'!R17,3)=0,"",ROUND('Saisie actif'!R17,3)/1000)</f>
        <v/>
      </c>
      <c r="C29" s="14">
        <f>IF(ROUND('Saisie actif'!O17,3)=0,"",ROUND('Saisie actif'!O17,3)/1000)</f>
        <v/>
      </c>
      <c r="D29" s="14">
        <f>IF(ROUND('Saisie actif'!L17,3)=0,"",ROUND('Saisie actif'!L17,3)/1000)</f>
        <v/>
      </c>
    </row>
    <row r="30" customFormat="1" s="5">
      <c r="A30" s="3" t="inlineStr">
        <is>
          <t>Concessions</t>
        </is>
      </c>
      <c r="B30" s="3">
        <f>IF(COUNT(B31,B32)=0,"",SUM(B31,B32))</f>
        <v/>
      </c>
      <c r="C30" s="3">
        <f>IF(COUNT(C31,C32)=0,"",SUM(C31,C32))</f>
        <v/>
      </c>
      <c r="D30" s="3">
        <f>IF(COUNT(D31,D32)=0,"",SUM(D31,D32))</f>
        <v/>
      </c>
    </row>
    <row r="31">
      <c r="A31" t="inlineStr">
        <is>
          <t xml:space="preserve">  dont Concessions (Actif incorporel)</t>
        </is>
      </c>
      <c r="B31" s="14">
        <f>IF(ROUND('Saisie actif'!R16,3)=0,"",ROUND('Saisie actif'!R16,3)/1000)</f>
        <v/>
      </c>
      <c r="C31" s="14">
        <f>IF(ROUND('Saisie actif'!O16,3)=0,"",ROUND('Saisie actif'!O16,3)/1000)</f>
        <v/>
      </c>
      <c r="D31" s="14">
        <f>IF(ROUND('Saisie actif'!L16,3)=0,"",ROUND('Saisie actif'!L16,3)/1000)</f>
        <v/>
      </c>
    </row>
    <row r="32">
      <c r="A32" t="inlineStr">
        <is>
          <t xml:space="preserve">  dont Concessions (Actif financier)</t>
        </is>
      </c>
      <c r="B32" s="14" t="n"/>
      <c r="C32" s="14" t="n"/>
      <c r="D32" s="14" t="n"/>
    </row>
    <row r="33">
      <c r="A33" s="2" t="inlineStr">
        <is>
          <t>Immobilisations financières nettes</t>
        </is>
      </c>
      <c r="B33" s="2">
        <f>IF(COUNT(B34,B35,B36,B37)=0,"",SUM(B34,B35,B36,B37))</f>
        <v/>
      </c>
      <c r="C33" s="2">
        <f>IF(COUNT(C34,C35,C36,C37)=0,"",SUM(C34,C35,C36,C37))</f>
        <v/>
      </c>
      <c r="D33" s="2">
        <f>IF(COUNT(D34,D35,D36,D37)=0,"",SUM(D34,D35,D36,D37))</f>
        <v/>
      </c>
    </row>
    <row r="34">
      <c r="A34" t="inlineStr">
        <is>
          <t xml:space="preserve">  dont Titres de participation</t>
        </is>
      </c>
      <c r="B34" s="14">
        <f>IF(ROUND('Saisie actif'!R20,3)=0,"",ROUND('Saisie actif'!R20,3)/1000)</f>
        <v/>
      </c>
      <c r="C34" s="14">
        <f>IF(ROUND('Saisie actif'!O20,3)=0,"",ROUND('Saisie actif'!O20,3)/1000)</f>
        <v/>
      </c>
      <c r="D34" s="14">
        <f>IF(ROUND('Saisie actif'!L20,3)=0,"",ROUND('Saisie actif'!L20,3)/1000)</f>
        <v/>
      </c>
    </row>
    <row r="35">
      <c r="A35" t="inlineStr">
        <is>
          <t xml:space="preserve">  dont Investissements dans les sociétés du groupe</t>
        </is>
      </c>
      <c r="B35" s="14">
        <f>IF(ROUND('Saisie actif'!R19,3)=0,"",ROUND('Saisie actif'!R19,3)/1000)</f>
        <v/>
      </c>
      <c r="C35" s="14">
        <f>IF(ROUND('Saisie actif'!O19,3)=0,"",ROUND('Saisie actif'!O19,3)/1000)</f>
        <v/>
      </c>
      <c r="D35" s="14">
        <f>IF(ROUND('Saisie actif'!L19,3)=0,"",ROUND('Saisie actif'!L19,3)/1000)</f>
        <v/>
      </c>
    </row>
    <row r="36">
      <c r="A36" t="inlineStr">
        <is>
          <t xml:space="preserve">  dont Avances à des entités du groupe</t>
        </is>
      </c>
      <c r="B36" s="14" t="n"/>
      <c r="C36" s="14" t="n"/>
      <c r="D36" s="14" t="n"/>
    </row>
    <row r="37">
      <c r="A37" t="inlineStr">
        <is>
          <t xml:space="preserve">  dont autres Immobilisations financières nettes</t>
        </is>
      </c>
      <c r="B37" s="14">
        <f>IF(ROUND('Saisie actif'!R21 + 'Saisie actif'!R22,3)=0,"",ROUND('Saisie actif'!R21 + 'Saisie actif'!R22,3)/1000)</f>
        <v/>
      </c>
      <c r="C37" s="14">
        <f>IF(ROUND('Saisie actif'!O21 + 'Saisie actif'!O22,3)=0,"",ROUND('Saisie actif'!O21 + 'Saisie actif'!O22,3)/1000)</f>
        <v/>
      </c>
      <c r="D37" s="14">
        <f>IF(ROUND('Saisie actif'!L21 + 'Saisie actif'!L22,3)=0,"",ROUND('Saisie actif'!L21 + 'Saisie actif'!L22,3)/1000)</f>
        <v/>
      </c>
    </row>
    <row r="38">
      <c r="A38" s="2" t="inlineStr">
        <is>
          <t>Impôts différés</t>
        </is>
      </c>
      <c r="B38" s="2">
        <f>IF(COUNT(B39,B40)=0,"",SUM(B39,B40))</f>
        <v/>
      </c>
      <c r="C38" s="2">
        <f>IF(COUNT(C39,C40)=0,"",SUM(C39,C40))</f>
        <v/>
      </c>
      <c r="D38" s="2">
        <f>IF(COUNT(D39,D40)=0,"",SUM(D39,D40))</f>
        <v/>
      </c>
    </row>
    <row r="39">
      <c r="A39" t="inlineStr">
        <is>
          <t xml:space="preserve">  dont Impôts différés non courants</t>
        </is>
      </c>
      <c r="B39" s="14">
        <f>IF(ROUND('Saisie actif'!R23,3)=0,"",ROUND('Saisie actif'!R23,3)/1000)</f>
        <v/>
      </c>
      <c r="C39" s="14">
        <f>IF(ROUND('Saisie actif'!O23,3)=0,"",ROUND('Saisie actif'!O23,3)/1000)</f>
        <v/>
      </c>
      <c r="D39" s="14">
        <f>IF(ROUND('Saisie actif'!L23,3)=0,"",ROUND('Saisie actif'!L23,3)/1000)</f>
        <v/>
      </c>
    </row>
    <row r="40">
      <c r="A40" t="inlineStr">
        <is>
          <t xml:space="preserve">  dont Impôts différés courants</t>
        </is>
      </c>
      <c r="B40" s="14" t="n"/>
      <c r="C40" s="14" t="n"/>
      <c r="D40" s="14" t="n"/>
    </row>
    <row r="41">
      <c r="A41" s="2" t="inlineStr">
        <is>
          <t>Dérivés</t>
        </is>
      </c>
      <c r="B41" s="2">
        <f>IF(COUNT(B42,B43)=0,"",SUM(B42,B43))</f>
        <v/>
      </c>
      <c r="C41" s="2">
        <f>IF(COUNT(C42,C43)=0,"",SUM(C42,C43))</f>
        <v/>
      </c>
      <c r="D41" s="2">
        <f>IF(COUNT(D42,D43)=0,"",SUM(D42,D43))</f>
        <v/>
      </c>
    </row>
    <row r="42">
      <c r="A42" t="inlineStr">
        <is>
          <t xml:space="preserve">  dont Produits dérivés non courants</t>
        </is>
      </c>
      <c r="B42" s="14" t="n"/>
      <c r="C42" s="14" t="n"/>
      <c r="D42" s="14" t="n"/>
    </row>
    <row r="43">
      <c r="A43" t="inlineStr">
        <is>
          <t xml:space="preserve">  dont Produits dérivés courants</t>
        </is>
      </c>
      <c r="B43" s="14" t="n"/>
      <c r="C43" s="14" t="n"/>
      <c r="D43" s="14" t="n"/>
    </row>
    <row r="44">
      <c r="A44" s="2" t="inlineStr">
        <is>
          <t>dont Créances financières non courantes</t>
        </is>
      </c>
      <c r="B44" s="2">
        <f>IF(COUNT(B45,B46,B47,B48)=0,"",SUM(B45:B48))</f>
        <v/>
      </c>
      <c r="C44" s="2">
        <f>IF(COUNT(C45,C46,C47,C48)=0,"",SUM(C45:C48))</f>
        <v/>
      </c>
      <c r="D44" s="2">
        <f>IF(COUNT(D45,D46,D47,D48)=0,"",SUM(D45:D48))</f>
        <v/>
      </c>
    </row>
    <row r="45">
      <c r="A45" t="inlineStr">
        <is>
          <t xml:space="preserve">  dont part non cour. des créances financières non cour.</t>
        </is>
      </c>
      <c r="B45" s="14" t="n"/>
      <c r="C45" s="14" t="n"/>
      <c r="D45" s="14" t="n"/>
    </row>
    <row r="46">
      <c r="A46" t="inlineStr">
        <is>
          <t xml:space="preserve">  dont part cour. des créances financières non cour.</t>
        </is>
      </c>
      <c r="B46" s="14" t="n"/>
      <c r="C46" s="14" t="n"/>
      <c r="D46" s="14" t="n"/>
    </row>
    <row r="47">
      <c r="A47" t="inlineStr">
        <is>
          <t xml:space="preserve">  dont créances liées aux opérations de lease</t>
        </is>
      </c>
      <c r="B47" s="14" t="n"/>
      <c r="C47" s="14" t="n"/>
      <c r="D47" s="14" t="n"/>
    </row>
    <row r="48">
      <c r="A48" t="inlineStr">
        <is>
          <t xml:space="preserve">  dont Part Cour. Créances Liées Aux Op. Lease</t>
        </is>
      </c>
      <c r="B48" s="14" t="n"/>
      <c r="C48" s="14" t="n"/>
      <c r="D48" s="14" t="n"/>
    </row>
    <row r="49">
      <c r="A49" s="2" t="inlineStr">
        <is>
          <t>Autres actifs non courants</t>
        </is>
      </c>
      <c r="B49" s="2">
        <f>IF(COUNT(B39,B42,B45,B47,B50,B53,B54)=0,"",SUM(B39,B42,B45,B47,B50,B53,B54))</f>
        <v/>
      </c>
      <c r="C49" s="2">
        <f>IF(COUNT(C39,C42,C45,C47,C50,C53,C54)=0,"",SUM(C39,C42,C45,C47,C50,C53,C54))</f>
        <v/>
      </c>
      <c r="D49" s="2">
        <f>IF(COUNT(D39,D42,D45,D47,D50,D53,D54)=0,"",SUM(D39,D42,D45,D47,D50,D53,D54))</f>
        <v/>
      </c>
    </row>
    <row r="50">
      <c r="A50" t="inlineStr">
        <is>
          <t xml:space="preserve">  dont Créances non courantes</t>
        </is>
      </c>
      <c r="B50" s="14">
        <f>IF(COUNT(B51,B52)=0,"",SUM(B51,B52))</f>
        <v/>
      </c>
      <c r="C50" s="14">
        <f>IF(COUNT(C51,C52)=0,"",SUM(C51,C52))</f>
        <v/>
      </c>
      <c r="D50" s="14">
        <f>IF(COUNT(D51,D52)=0,"",SUM(D51,D52))</f>
        <v/>
      </c>
    </row>
    <row r="51">
      <c r="A51" t="inlineStr">
        <is>
          <t xml:space="preserve">  dont part non courante des créances non courantes</t>
        </is>
      </c>
      <c r="B51" s="14" t="n"/>
      <c r="C51" s="14" t="n"/>
      <c r="D51" s="14" t="n"/>
    </row>
    <row r="52">
      <c r="A52" t="inlineStr">
        <is>
          <t xml:space="preserve">  dont part courantes des créances non courantes</t>
        </is>
      </c>
      <c r="B52" s="14" t="n"/>
      <c r="C52" s="14" t="n"/>
      <c r="D52" s="14" t="n"/>
    </row>
    <row r="53">
      <c r="A53" t="inlineStr">
        <is>
          <t xml:space="preserve">  dont actifs couverture régimes retraite/en excès</t>
        </is>
      </c>
      <c r="B53" s="14" t="n"/>
      <c r="C53" s="14" t="n"/>
      <c r="D53" s="14" t="n"/>
    </row>
    <row r="54">
      <c r="A54" t="inlineStr">
        <is>
          <t xml:space="preserve">  dont autres</t>
        </is>
      </c>
      <c r="B54" s="14" t="n"/>
      <c r="C54" s="14" t="n"/>
      <c r="D54" s="14" t="n"/>
    </row>
    <row r="55">
      <c r="A55" s="2" t="inlineStr">
        <is>
          <t>Stocks</t>
        </is>
      </c>
      <c r="B55" s="2">
        <f>IF(COUNT(B56,B59,B62,B65)=0,"",SUM(B56,B59,B62,B65))</f>
        <v/>
      </c>
      <c r="C55" s="2">
        <f>IF(COUNT(C56,C59,C62,C65)=0,"",SUM(C56,C59,C62,C65))</f>
        <v/>
      </c>
      <c r="D55" s="2">
        <f>IF(COUNT(D56,D59,D62,D65)=0,"",SUM(D56,D59,D62,D65))</f>
        <v/>
      </c>
    </row>
    <row r="56">
      <c r="A56" s="3" t="inlineStr">
        <is>
          <t xml:space="preserve">  dont Matières premières nettes</t>
        </is>
      </c>
      <c r="B56" s="3">
        <f>IF(COUNT(B57,B58)=0,"",SUM(B57,B58))</f>
        <v/>
      </c>
      <c r="C56" s="3">
        <f>IF(COUNT(C57,C58)=0,"",SUM(C57,C58))</f>
        <v/>
      </c>
      <c r="D56" s="3">
        <f>IF(COUNT(D57,D58)=0,"",SUM(D57,D58))</f>
        <v/>
      </c>
    </row>
    <row r="57">
      <c r="A57" t="inlineStr">
        <is>
          <t xml:space="preserve">    Brut</t>
        </is>
      </c>
      <c r="B57" s="14">
        <f>IF(ROUND('Saisie actif'!P26,3)=0,"",ROUND('Saisie actif'!P26,3)/1000)</f>
        <v/>
      </c>
      <c r="C57" s="14">
        <f>IF(ROUND('Saisie actif'!M26,3)=0,"",ROUND('Saisie actif'!M26,3)/1000)</f>
        <v/>
      </c>
      <c r="D57" s="14">
        <f>IF(ROUND('Saisie actif'!J26,3)=0,"",ROUND('Saisie actif'!J26,3)/1000)</f>
        <v/>
      </c>
    </row>
    <row r="58">
      <c r="A58" t="inlineStr">
        <is>
          <t xml:space="preserve">    Dépréciations cumulées</t>
        </is>
      </c>
      <c r="B58" s="14">
        <f>IF(ROUND(-'Saisie actif'!Q26,3)=0,"",ROUND(-'Saisie actif'!Q26,3)/1000)</f>
        <v/>
      </c>
      <c r="C58" s="14">
        <f>IF(ROUND(-'Saisie actif'!N26,3)=0,"",ROUND(-'Saisie actif'!N26,3)/1000)</f>
        <v/>
      </c>
      <c r="D58" s="14">
        <f>IF(ROUND(-'Saisie actif'!K26,3)=0,"",ROUND(-'Saisie actif'!K26,3)/1000)</f>
        <v/>
      </c>
    </row>
    <row r="59">
      <c r="A59" s="3" t="inlineStr">
        <is>
          <t xml:space="preserve">  dont Travaux en cours nets</t>
        </is>
      </c>
      <c r="B59" s="3">
        <f>IF(COUNT(B60,B61)=0,"",SUM(B60,B61))</f>
        <v/>
      </c>
      <c r="C59" s="3">
        <f>IF(COUNT(C60,C61)=0,"",SUM(C60,C61))</f>
        <v/>
      </c>
      <c r="D59" s="3">
        <f>IF(COUNT(D60,D61)=0,"",SUM(D60,D61))</f>
        <v/>
      </c>
    </row>
    <row r="60">
      <c r="A60" t="inlineStr">
        <is>
          <t xml:space="preserve">    Brut</t>
        </is>
      </c>
      <c r="B60" s="14" t="n"/>
      <c r="C60" s="14" t="n"/>
      <c r="D60" s="14" t="n"/>
    </row>
    <row r="61">
      <c r="A61" t="inlineStr">
        <is>
          <t xml:space="preserve">    Dépréciations cumulées</t>
        </is>
      </c>
      <c r="B61" s="14" t="n"/>
      <c r="C61" s="14" t="n"/>
      <c r="D61" s="14" t="n"/>
    </row>
    <row r="62">
      <c r="A62" s="3" t="inlineStr">
        <is>
          <t xml:space="preserve">  dont Produits finis nets</t>
        </is>
      </c>
      <c r="B62" s="3">
        <f>IF(COUNT(B63,B64)=0,"",SUM(B63,B64))</f>
        <v/>
      </c>
      <c r="C62" s="3">
        <f>IF(COUNT(C63,C64)=0,"",SUM(C63,C64))</f>
        <v/>
      </c>
      <c r="D62" s="3">
        <f>IF(COUNT(D63,D64)=0,"",SUM(D63,D64))</f>
        <v/>
      </c>
    </row>
    <row r="63">
      <c r="A63" t="inlineStr">
        <is>
          <t xml:space="preserve">    Brut</t>
        </is>
      </c>
      <c r="B63" s="14" t="n"/>
      <c r="C63" s="14" t="n"/>
      <c r="D63" s="14" t="n"/>
    </row>
    <row r="64">
      <c r="A64" t="inlineStr">
        <is>
          <t xml:space="preserve">    Dépréciations cumulées</t>
        </is>
      </c>
      <c r="B64" s="14" t="n"/>
      <c r="C64" s="14" t="n"/>
      <c r="D64" s="14" t="n"/>
    </row>
    <row r="65">
      <c r="A65" s="3" t="inlineStr">
        <is>
          <t xml:space="preserve">  dont Marchandises nettes</t>
        </is>
      </c>
      <c r="B65" s="3">
        <f>IF(COUNT(B66,B67)=0,"",SUM(B66,B67))</f>
        <v/>
      </c>
      <c r="C65" s="3">
        <f>IF(COUNT(C66,C67)=0,"",SUM(C66,C67))</f>
        <v/>
      </c>
      <c r="D65" s="3">
        <f>IF(COUNT(D66,D67)=0,"",SUM(D66,D67))</f>
        <v/>
      </c>
    </row>
    <row r="66">
      <c r="A66" t="inlineStr">
        <is>
          <t xml:space="preserve">    Brut</t>
        </is>
      </c>
      <c r="B66" s="14" t="n"/>
      <c r="C66" s="14" t="n"/>
      <c r="D66" s="14" t="n"/>
    </row>
    <row r="67">
      <c r="A67" t="inlineStr">
        <is>
          <t xml:space="preserve">    Dépréciations cumulées</t>
        </is>
      </c>
      <c r="B67" s="14" t="n"/>
      <c r="C67" s="14" t="n"/>
      <c r="D67" s="14" t="n"/>
    </row>
    <row r="68">
      <c r="A68" s="2" t="inlineStr">
        <is>
          <t>Créances d'exploitation et autres</t>
        </is>
      </c>
      <c r="B68" s="2">
        <f>IF(COUNT(B69,B70)=0,"",SUM(B69,B70))</f>
        <v/>
      </c>
      <c r="C68" s="2">
        <f>IF(COUNT(C69,C70)=0,"",SUM(C69,C70))</f>
        <v/>
      </c>
      <c r="D68" s="2">
        <f>IF(COUNT(D69,D70)=0,"",SUM(D69,D70))</f>
        <v/>
      </c>
    </row>
    <row r="69">
      <c r="A69" t="inlineStr">
        <is>
          <t xml:space="preserve">  dont Brut</t>
        </is>
      </c>
      <c r="B69" s="14">
        <f>IF(ROUND('Saisie actif'!P28,3)=0,"",ROUND('Saisie actif'!P28,3)/1000)</f>
        <v/>
      </c>
      <c r="C69" s="14">
        <f>IF(ROUND('Saisie actif'!M28,3)=0,"",ROUND('Saisie actif'!M28,3)/1000)</f>
        <v/>
      </c>
      <c r="D69" s="14">
        <f>IF(ROUND('Saisie actif'!J28,3)=0,"",ROUND('Saisie actif'!J28,3)/1000)</f>
        <v/>
      </c>
    </row>
    <row r="70">
      <c r="A70" t="inlineStr">
        <is>
          <t xml:space="preserve">  dont dotation aux provisions</t>
        </is>
      </c>
      <c r="B70" s="14">
        <f>IF(ROUND(-'Saisie actif'!Q28,3)=0,"",ROUND(-'Saisie actif'!Q28,3)/1000)</f>
        <v/>
      </c>
      <c r="C70" s="14">
        <f>IF(ROUND(-'Saisie actif'!N28,3)=0,"",ROUND(-'Saisie actif'!N28,3)/1000)</f>
        <v/>
      </c>
      <c r="D70" s="14">
        <f>IF(ROUND(-'Saisie actif'!K28,3)=0,"",ROUND(-'Saisie actif'!K28,3)/1000)</f>
        <v/>
      </c>
    </row>
    <row r="71">
      <c r="A71" s="2" t="inlineStr">
        <is>
          <t>Avances et charges constatées d'avance</t>
        </is>
      </c>
      <c r="B71" s="2">
        <f>IF(COUNT(B72,B73,B74)=0,"",SUM(B72,B73,B74))</f>
        <v/>
      </c>
      <c r="C71" s="2">
        <f>IF(COUNT(C72,C73,C74)=0,"",SUM(C72,C73,C74))</f>
        <v/>
      </c>
      <c r="D71" s="2">
        <f>IF(COUNT(D72,D73,D74)=0,"",SUM(D72,D73,D74))</f>
        <v/>
      </c>
    </row>
    <row r="72">
      <c r="A72" t="inlineStr">
        <is>
          <t xml:space="preserve">  dont Montant Dûs aux Clients sur Contrats de LT</t>
        </is>
      </c>
      <c r="B72" s="14" t="n"/>
      <c r="C72" s="14" t="n"/>
      <c r="D72" s="14" t="n"/>
    </row>
    <row r="73">
      <c r="A73" t="inlineStr">
        <is>
          <t xml:space="preserve">  dont Avances sur Travaux en Cours</t>
        </is>
      </c>
      <c r="B73" s="14" t="n"/>
      <c r="C73" s="14" t="n"/>
      <c r="D73" s="14" t="n"/>
    </row>
    <row r="74">
      <c r="A74" t="inlineStr">
        <is>
          <t xml:space="preserve">  dont autres</t>
        </is>
      </c>
      <c r="B74" s="14" t="n"/>
      <c r="C74" s="14" t="n"/>
      <c r="D74" s="14" t="n"/>
    </row>
    <row r="75">
      <c r="A75" s="2" t="inlineStr">
        <is>
          <t>Autres actifs courants</t>
        </is>
      </c>
      <c r="B75" s="2">
        <f>IF(COUNT(B76,B77,B78,B79)=0,"",SUM(B76,B77,B78,B79))</f>
        <v/>
      </c>
      <c r="C75" s="2">
        <f>IF(COUNT(C76,C77,C78,C79)=0,"",SUM(C76,C77,C78,C79))</f>
        <v/>
      </c>
      <c r="D75" s="2">
        <f>IF(COUNT(D76,D77,D78,D79)=0,"",SUM(D76,D77,D78,D79))</f>
        <v/>
      </c>
    </row>
    <row r="76">
      <c r="A76" t="inlineStr">
        <is>
          <t xml:space="preserve">  dont Créance d'impôt courant</t>
        </is>
      </c>
      <c r="B76" s="14">
        <f>IF(ROUND('Saisie actif'!R30,3)=0,"",ROUND('Saisie actif'!R30,3)/1000)</f>
        <v/>
      </c>
      <c r="C76" s="14">
        <f>IF(ROUND('Saisie actif'!O30,3)=0,"",ROUND('Saisie actif'!O30,3)/1000)</f>
        <v/>
      </c>
      <c r="D76" s="14">
        <f>IF(ROUND('Saisie actif'!L30,3)=0,"",ROUND('Saisie actif'!L30,3)/1000)</f>
        <v/>
      </c>
    </row>
    <row r="77">
      <c r="A77" t="inlineStr">
        <is>
          <t xml:space="preserve">  dont Autres créances d'impôts</t>
        </is>
      </c>
      <c r="B77" s="14" t="n"/>
      <c r="C77" s="14" t="n"/>
      <c r="D77" s="14" t="n"/>
    </row>
    <row r="78">
      <c r="A78" t="inlineStr">
        <is>
          <t xml:space="preserve">  dont autres actifs circulants</t>
        </is>
      </c>
      <c r="B78" s="14" t="n"/>
      <c r="C78" s="14" t="n"/>
      <c r="D78" s="14" t="n"/>
    </row>
    <row r="79">
      <c r="A79" t="inlineStr">
        <is>
          <t xml:space="preserve">  dont autres</t>
        </is>
      </c>
      <c r="B79" s="14">
        <f>IF(ROUND('Saisie actif'!R29 + 'Saisie actif'!R31,3)=0,"",ROUND('Saisie actif'!R29 + 'Saisie actif'!R31,3)/1000)</f>
        <v/>
      </c>
      <c r="C79" s="14">
        <f>IF(ROUND('Saisie actif'!O29 + 'Saisie actif'!O31,3)=0,"",ROUND('Saisie actif'!O29 + 'Saisie actif'!O31,3)/1000)</f>
        <v/>
      </c>
      <c r="D79" s="14">
        <f>IF(ROUND('Saisie actif'!L29 + 'Saisie actif'!L31,3)=0,"",ROUND('Saisie actif'!L29 + 'Saisie actif'!L31,3)/1000)</f>
        <v/>
      </c>
    </row>
    <row r="80">
      <c r="A80" t="inlineStr">
        <is>
          <t>Actifs financiers courants (hors investissements)</t>
        </is>
      </c>
      <c r="B80" s="14" t="n"/>
      <c r="C80" s="14" t="n"/>
      <c r="D80" s="14" t="n"/>
    </row>
    <row r="81" ht="28" customHeight="1" s="8">
      <c r="A81" s="2" t="inlineStr">
        <is>
          <t>Trésorerie, équivalents de trésorerie et VMP (&lt; 3 mois)</t>
        </is>
      </c>
      <c r="B81" s="2">
        <f>IF(COUNT(B82,B83)=0,"",SUM(B82,B83))</f>
        <v/>
      </c>
      <c r="C81" s="2">
        <f>IF(COUNT(C82,C83)=0,"",SUM(C82,C83))</f>
        <v/>
      </c>
      <c r="D81" s="2">
        <f>IF(COUNT(D82,D83)=0,"",SUM(D82,D83))</f>
        <v/>
      </c>
    </row>
    <row r="82">
      <c r="A82" t="inlineStr">
        <is>
          <t xml:space="preserve">  dont VMP, nettes</t>
        </is>
      </c>
      <c r="B82" s="14">
        <f>IF(ROUND('Saisie actif'!R33,3)=0,"",ROUND('Saisie actif'!R33,3)/1000)</f>
        <v/>
      </c>
      <c r="C82" s="14">
        <f>IF(ROUND('Saisie actif'!O33,3)=0,"",ROUND('Saisie actif'!O33,3)/1000)</f>
        <v/>
      </c>
      <c r="D82" s="14">
        <f>IF(ROUND('Saisie actif'!L33,3)=0,"",ROUND('Saisie actif'!L33,3)/1000)</f>
        <v/>
      </c>
    </row>
    <row r="83">
      <c r="A83" t="inlineStr">
        <is>
          <t xml:space="preserve">  dont Trésorerie et équivalents de trésorerie</t>
        </is>
      </c>
      <c r="B83" s="14">
        <f>IF(ROUND('Saisie actif'!R34,3)=0,"",ROUND('Saisie actif'!R34,3)/1000)</f>
        <v/>
      </c>
      <c r="C83" s="14">
        <f>IF(ROUND('Saisie actif'!O34,3)=0,"",ROUND('Saisie actif'!O34,3)/1000)</f>
        <v/>
      </c>
      <c r="D83" s="14">
        <f>IF(ROUND('Saisie actif'!L34,3)=0,"",ROUND('Saisie actif'!L34,3)/1000)</f>
        <v/>
      </c>
    </row>
    <row r="84">
      <c r="A84" s="2" t="inlineStr">
        <is>
          <t>TOTAL ACTIFS NON COURANTS</t>
        </is>
      </c>
      <c r="B84" s="2">
        <f>IF(COUNT(B16,B17,B19,B30,B33,B42,B44,B49)=0,"",SUM(B16,B17,B19,B30,B33,B42,B44,B49))</f>
        <v/>
      </c>
      <c r="C84" s="2">
        <f>IF(COUNT(C16,C17,C19,C30,C33,C42,C44,C49)=0,"",SUM(C16,C17,C19,C30,C33,C42,C44,C49))</f>
        <v/>
      </c>
      <c r="D84" s="2">
        <f>IF(COUNT(D16,D17,D19,D30,D33,D42,D44,D49)=0,"",SUM(D16,D17,D19,D30,D33,D42,D44,D49))</f>
        <v/>
      </c>
    </row>
    <row r="85">
      <c r="A85" s="2" t="inlineStr">
        <is>
          <t>TOTAL ACTIFS COURANTS</t>
        </is>
      </c>
      <c r="B85" s="2">
        <f>IF(COUNT(B43,B55,B68,B71,B75,B80,B81)=0,"",SUM(B43,B55,B68,B71,B75,B80,B81))</f>
        <v/>
      </c>
      <c r="C85" s="2">
        <f>IF(COUNT(C43,C55,C68,C71,C75,C80,C81)=0,"",SUM(C43,C55,C68,C71,C75,C80,C81))</f>
        <v/>
      </c>
      <c r="D85" s="2">
        <f>IF(COUNT(D43,D55,D68,D71,D75,D80,D81)=0,"",SUM(D43,D55,D68,D71,D75,D80,D81))</f>
        <v/>
      </c>
    </row>
    <row r="86">
      <c r="A86" t="inlineStr">
        <is>
          <t>Actifs Détenus en Vue de la Vente</t>
        </is>
      </c>
      <c r="B86" s="14" t="n"/>
      <c r="C86" s="14" t="n"/>
      <c r="D86" s="14" t="n"/>
    </row>
    <row r="87" customFormat="1" s="7">
      <c r="A87" s="2" t="inlineStr">
        <is>
          <t>TOTAL ACTIF</t>
        </is>
      </c>
      <c r="B87" s="2">
        <f>IF(COUNT(B84,B85,B86)=0,"",SUM(B84,B85,B86))</f>
        <v/>
      </c>
      <c r="C87" s="2">
        <f>IF(COUNT(C84,C85,C86)=0,"",SUM(C84,C85,C86))</f>
        <v/>
      </c>
      <c r="D87" s="2">
        <f>IF(COUNT(D84,D85,D86)=0,"",SUM(D84,D85,D86))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C18" sqref="B18:D18"/>
    </sheetView>
  </sheetViews>
  <sheetFormatPr baseColWidth="10" defaultColWidth="8.83203125" defaultRowHeight="15"/>
  <cols>
    <col width="42.1640625" customWidth="1" style="8" min="1" max="1"/>
    <col width="17.1640625" bestFit="1" customWidth="1" style="8" min="4" max="4"/>
    <col width="13" bestFit="1" customWidth="1" style="8" min="5" max="5"/>
    <col width="30" customWidth="1" style="8" min="6" max="6"/>
    <col width="9.83203125" customWidth="1" style="8" min="7" max="7"/>
    <col width="7.5" customWidth="1" style="8" min="8" max="9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/>
    <row r="15"/>
    <row r="16">
      <c r="B16" t="inlineStr">
        <is>
          <t>Valeur</t>
        </is>
      </c>
      <c r="C16" t="inlineStr">
        <is>
          <t>Valeur</t>
        </is>
      </c>
      <c r="D16" t="inlineStr">
        <is>
          <t>Valeur</t>
        </is>
      </c>
    </row>
    <row r="17"/>
    <row r="18">
      <c r="A18" s="2" t="inlineStr">
        <is>
          <t>Capital</t>
        </is>
      </c>
      <c r="B18" s="2">
        <f>B19+B20</f>
        <v/>
      </c>
      <c r="C18" s="2">
        <f>C19+C20</f>
        <v/>
      </c>
      <c r="D18" s="2">
        <f>D19+D20</f>
        <v/>
      </c>
    </row>
    <row r="19">
      <c r="A19" t="inlineStr">
        <is>
          <t xml:space="preserve">  dont Actions ordinaires</t>
        </is>
      </c>
      <c r="B19" s="14">
        <f>IF(ROUND('Saisie passif'!H6 - 'Saisie passif'!H7,3)=0,"",ROUND('Saisie passif'!H6 - 'Saisie passif'!H7,3)/1000)</f>
        <v/>
      </c>
      <c r="C19" s="14">
        <f>IF(ROUND('Saisie passif'!G6 - 'Saisie passif'!G7,3)=0,"",ROUND('Saisie passif'!G6 - 'Saisie passif'!G7,3)/1000)</f>
        <v/>
      </c>
      <c r="D19" s="14">
        <f>IF(ROUND('Saisie passif'!F6 - 'Saisie passif'!F7,3)=0,"",ROUND('Saisie passif'!F6 - 'Saisie passif'!F7,3)/1000)</f>
        <v/>
      </c>
    </row>
    <row r="20">
      <c r="A20" t="inlineStr">
        <is>
          <t xml:space="preserve">  dont Actions de préférence</t>
        </is>
      </c>
      <c r="B20" s="14" t="n"/>
      <c r="C20" s="14" t="n"/>
      <c r="D20" s="14" t="n"/>
    </row>
    <row r="21">
      <c r="A21" t="inlineStr">
        <is>
          <t>Primes</t>
        </is>
      </c>
      <c r="B21" s="14" t="n"/>
      <c r="C21" s="14" t="n"/>
      <c r="D21" s="14" t="n"/>
    </row>
    <row r="22">
      <c r="A22" t="inlineStr">
        <is>
          <t>Actions d'autocontrôle</t>
        </is>
      </c>
      <c r="B22" s="14" t="n"/>
      <c r="C22" s="14" t="n"/>
      <c r="D22" s="14" t="n"/>
    </row>
    <row r="23">
      <c r="A23" t="inlineStr">
        <is>
          <t>Réserves (non distribuables)</t>
        </is>
      </c>
      <c r="B23" s="14">
        <f>IF(ROUND('Saisie passif'!H8,3)=0,"",ROUND('Saisie passif'!H8,3)/1000)</f>
        <v/>
      </c>
      <c r="C23" s="14">
        <f>IF(ROUND('Saisie passif'!G8,3)=0,"",ROUND('Saisie passif'!G8,3)/1000)</f>
        <v/>
      </c>
      <c r="D23" s="14">
        <f>IF(ROUND('Saisie passif'!F8,3)=0,"",ROUND('Saisie passif'!F8,3)/1000)</f>
        <v/>
      </c>
    </row>
    <row r="24">
      <c r="A24" t="inlineStr">
        <is>
          <t>Réserves distribuables</t>
        </is>
      </c>
      <c r="B24" s="14">
        <f>IF(ROUND('Saisie passif'!H12,3)=0,"",ROUND('Saisie passif'!H12,3)/1000)</f>
        <v/>
      </c>
      <c r="C24" s="14">
        <f>IF(ROUND('Saisie passif'!G12,3)=0,"",ROUND('Saisie passif'!G12,3)/1000)</f>
        <v/>
      </c>
      <c r="D24" s="14">
        <f>IF(ROUND('Saisie passif'!F12,3)=0,"",ROUND('Saisie passif'!F12,3)/1000)</f>
        <v/>
      </c>
    </row>
    <row r="25">
      <c r="A25" t="inlineStr">
        <is>
          <t>Intérêts minoritaires</t>
        </is>
      </c>
      <c r="B25" s="14" t="n"/>
      <c r="C25" s="14" t="n"/>
      <c r="D25" s="14" t="n"/>
    </row>
    <row r="26">
      <c r="A26" t="inlineStr">
        <is>
          <t>Résultat Net Publié, Part du Groupe</t>
        </is>
      </c>
      <c r="B26" s="14">
        <f>IF(ROUND('Saisie passif'!H11,3)=0,"",ROUND('Saisie passif'!H11,3)/1000)</f>
        <v/>
      </c>
      <c r="C26" s="14">
        <f>IF(ROUND('Saisie passif'!G11,3)=0,"",ROUND('Saisie passif'!G11,3)/1000)</f>
        <v/>
      </c>
      <c r="D26" s="14">
        <f>IF(ROUND('Saisie passif'!F11,3)=0,"",ROUND('Saisie passif'!F11,3)/1000)</f>
        <v/>
      </c>
    </row>
    <row r="27">
      <c r="A27" s="2" t="inlineStr">
        <is>
          <t>Capitaux Propres (Cp) Av. élém. Constatés en Cp</t>
        </is>
      </c>
      <c r="B27" s="2">
        <f>IF(COUNT(B18,B21,B22,B23,B24,B25,B26)=0,"",SUM(B18,B21,B22,B23,B24,B25,B26))</f>
        <v/>
      </c>
      <c r="C27" s="2">
        <f>IF(COUNT(C18,C21,C22,C23,C24,C25,C26)=0,"",SUM(C18,C21,C22,C23,C24,C25,C26))</f>
        <v/>
      </c>
      <c r="D27" s="2">
        <f>IF(COUNT(D18,D21,D22,D23,D24,D25,D26)=0,"",SUM(D18,D21,D22,D23,D24,D25,D26))</f>
        <v/>
      </c>
    </row>
    <row r="28">
      <c r="A28" s="2" t="inlineStr">
        <is>
          <t>Elements constatés direct. en cap.propres</t>
        </is>
      </c>
      <c r="B28" s="2">
        <f>IF(COUNT(B29,B30,B31,B32,B33,B34)=0,"",SUM(B29,B30,B31,B32,B33,B34))</f>
        <v/>
      </c>
      <c r="C28" s="2">
        <f>IF(COUNT(C29,C30,C31,C32,C33,C34)=0,"",SUM(C29,C30,C31,C32,C33,C34))</f>
        <v/>
      </c>
      <c r="D28" s="2">
        <f>IF(COUNT(D29,D30,D31,D32,D33,D34)=0,"",SUM(D29,D30,D31,D32,D33,D34))</f>
        <v/>
      </c>
    </row>
    <row r="29">
      <c r="A29" t="inlineStr">
        <is>
          <t xml:space="preserve">  dont différence de conversion</t>
        </is>
      </c>
      <c r="B29" s="14" t="n"/>
      <c r="C29" s="14" t="n"/>
      <c r="D29" s="14" t="n"/>
    </row>
    <row r="30">
      <c r="A30" t="inlineStr">
        <is>
          <t xml:space="preserve">  dont variation JV actifs détenus en vue de la vente</t>
        </is>
      </c>
      <c r="B30" s="14" t="n"/>
      <c r="C30" s="14" t="n"/>
      <c r="D30" s="14" t="n"/>
    </row>
    <row r="31">
      <c r="A31" t="inlineStr">
        <is>
          <t xml:space="preserve">  dont var. juste valeur (JV) dérivés de couverture</t>
        </is>
      </c>
      <c r="B31" s="14" t="n"/>
      <c r="C31" s="14" t="n"/>
      <c r="D31" s="14" t="n"/>
    </row>
    <row r="32">
      <c r="A32" t="inlineStr">
        <is>
          <t xml:space="preserve">  dont passifs liés aux régimes de retraites</t>
        </is>
      </c>
      <c r="B32" s="14" t="n"/>
      <c r="C32" s="14" t="n"/>
      <c r="D32" s="14" t="n"/>
    </row>
    <row r="33">
      <c r="A33" t="inlineStr">
        <is>
          <t xml:space="preserve">  dont Impôts différés</t>
        </is>
      </c>
      <c r="B33" s="14" t="n"/>
      <c r="C33" s="14" t="n"/>
      <c r="D33" s="14" t="n"/>
    </row>
    <row r="34">
      <c r="A34" t="inlineStr">
        <is>
          <t xml:space="preserve">  dont autres</t>
        </is>
      </c>
      <c r="B34" s="14">
        <f>IF(ROUND('Saisie passif'!H9 + 'Saisie passif'!H10,3)=0,"",ROUND('Saisie passif'!H9 + 'Saisie passif'!H10,3)/1000)</f>
        <v/>
      </c>
      <c r="C34" s="14">
        <f>IF(ROUND('Saisie passif'!G9 + 'Saisie passif'!G10,3)=0,"",ROUND('Saisie passif'!G9 + 'Saisie passif'!G10,3)/1000)</f>
        <v/>
      </c>
      <c r="D34" s="14">
        <f>IF(ROUND('Saisie passif'!F9 + 'Saisie passif'!F10,3)=0,"",ROUND('Saisie passif'!F9 + 'Saisie passif'!F10,3)/1000)</f>
        <v/>
      </c>
    </row>
    <row r="35">
      <c r="A35" s="2" t="inlineStr">
        <is>
          <t>TOTAL CAPITAUX PROPRES</t>
        </is>
      </c>
      <c r="B35" s="2">
        <f>IF(COUNT(B27,B28)=0,"",SUM(B27,B28))</f>
        <v/>
      </c>
      <c r="C35" s="2">
        <f>IF(COUNT(C27,C28)=0,"",SUM(C27,C28))</f>
        <v/>
      </c>
      <c r="D35" s="2">
        <f>IF(COUNT(D27,D28)=0,"",SUM(D27,D28))</f>
        <v/>
      </c>
    </row>
    <row r="36">
      <c r="A36" s="3" t="inlineStr">
        <is>
          <t xml:space="preserve">  dont part du groupe</t>
        </is>
      </c>
      <c r="B36" s="3">
        <f>IF(COUNT(B35,B25)=0,"",B35-SUM(B25))</f>
        <v/>
      </c>
      <c r="C36" s="3">
        <f>IF(COUNT(C35,C25)=0,"",C35-SUM(C25))</f>
        <v/>
      </c>
      <c r="D36" s="3">
        <f>IF(COUNT(D35,D25)=0,"",D35-SUM(D25))</f>
        <v/>
      </c>
    </row>
    <row r="37">
      <c r="A37" s="2" t="inlineStr">
        <is>
          <t>Provisions</t>
        </is>
      </c>
      <c r="B37" s="2">
        <f>IF(COUNT(B38,B39,B40,B41,B42)=0,"",SUM(B38,B39,B40,B41,B42))</f>
        <v/>
      </c>
      <c r="C37" s="2">
        <f>IF(COUNT(C38,C39,C40,C41,C42)=0,"",SUM(C38,C39,C40,C41,C42))</f>
        <v/>
      </c>
      <c r="D37" s="2">
        <f>IF(COUNT(D38,D39,D40,D41,D42)=0,"",SUM(D38,D39,D40,D41,D42))</f>
        <v/>
      </c>
    </row>
    <row r="38">
      <c r="A38" t="inlineStr">
        <is>
          <t xml:space="preserve">  dont avantages au personnel</t>
        </is>
      </c>
      <c r="B38" s="14" t="n"/>
      <c r="C38" s="14" t="n"/>
      <c r="D38" s="14" t="n"/>
    </row>
    <row r="39">
      <c r="A39" t="inlineStr">
        <is>
          <t xml:space="preserve">  dont provisions de restructuration</t>
        </is>
      </c>
      <c r="B39" s="14" t="n"/>
      <c r="C39" s="14" t="n"/>
      <c r="D39" s="14" t="n"/>
    </row>
    <row r="40">
      <c r="A40" t="inlineStr">
        <is>
          <t xml:space="preserve">  dont Provisions pour contentieux juridiques</t>
        </is>
      </c>
      <c r="B40" s="14" t="n"/>
      <c r="C40" s="14" t="n"/>
      <c r="D40" s="14" t="n"/>
    </row>
    <row r="41">
      <c r="A41" t="inlineStr">
        <is>
          <t xml:space="preserve">  dont Réhabilitation d'actifs</t>
        </is>
      </c>
      <c r="B41" s="14" t="n"/>
      <c r="C41" s="14" t="n"/>
      <c r="D41" s="14" t="n"/>
    </row>
    <row r="42">
      <c r="A42" t="inlineStr">
        <is>
          <t xml:space="preserve">  dont Autres</t>
        </is>
      </c>
      <c r="B42" s="14">
        <f>IF(ROUND('Saisie passif'!H20,3)=0,"",ROUND('Saisie passif'!H20,3)/1000)</f>
        <v/>
      </c>
      <c r="C42" s="14">
        <f>IF(ROUND('Saisie passif'!G20,3)=0,"",ROUND('Saisie passif'!G20,3)/1000)</f>
        <v/>
      </c>
      <c r="D42" s="14">
        <f>IF(ROUND('Saisie passif'!F20,3)=0,"",ROUND('Saisie passif'!F20,3)/1000)</f>
        <v/>
      </c>
    </row>
    <row r="43">
      <c r="A43" s="2" t="inlineStr">
        <is>
          <t>Emprunts non courants</t>
        </is>
      </c>
      <c r="B43" s="2">
        <f>IF(COUNT(B44,B45,B46,B47,B48,B49,B50,B51)=0,"",SUM(B44,B45,B46,B47,B48,B49,B50,B51))</f>
        <v/>
      </c>
      <c r="C43" s="2">
        <f>IF(COUNT(C44,C45,C46,C47,C48,C49,C50,C51)=0,"",SUM(C44,C45,C46,C47,C48,C49,C50,C51))</f>
        <v/>
      </c>
      <c r="D43" s="2">
        <f>IF(COUNT(D44,D45,D46,D47,D48,D49,D50,D51)=0,"",SUM(D44,D45,D46,D47,D48,D49,D50,D51))</f>
        <v/>
      </c>
    </row>
    <row r="44">
      <c r="A44" t="inlineStr">
        <is>
          <t xml:space="preserve">  dont Emprunts senior auprès étab. Fi.&amp;autres</t>
        </is>
      </c>
      <c r="B44" s="14">
        <f>IF(ROUND('Saisie passif'!H17,3)=0,"",ROUND('Saisie passif'!H17,3)/1000)</f>
        <v/>
      </c>
      <c r="C44" s="14">
        <f>IF(ROUND('Saisie passif'!G17,3)=0,"",ROUND('Saisie passif'!G17,3)/1000)</f>
        <v/>
      </c>
      <c r="D44" s="14">
        <f>IF(ROUND('Saisie passif'!F17,3)=0,"",ROUND('Saisie passif'!F17,3)/1000)</f>
        <v/>
      </c>
    </row>
    <row r="45">
      <c r="A45" t="inlineStr">
        <is>
          <t xml:space="preserve">  dont Engagts liés ctrs loc.-fin.</t>
        </is>
      </c>
      <c r="B45" s="14" t="n"/>
      <c r="C45" s="14" t="n"/>
      <c r="D45" s="14" t="n"/>
    </row>
    <row r="46">
      <c r="A46" t="inlineStr">
        <is>
          <t xml:space="preserve">  dont Dette liée aux participations</t>
        </is>
      </c>
      <c r="B46" s="14" t="n"/>
      <c r="C46" s="14" t="n"/>
      <c r="D46" s="14" t="n"/>
    </row>
    <row r="47">
      <c r="A47" t="inlineStr">
        <is>
          <t xml:space="preserve">  dont Dette Liée aux Entités Fin. du Groupe</t>
        </is>
      </c>
      <c r="B47" s="14" t="n"/>
      <c r="C47" s="14" t="n"/>
      <c r="D47" s="14" t="n"/>
    </row>
    <row r="48">
      <c r="A48" t="inlineStr">
        <is>
          <t xml:space="preserve">  dont Obligations émises</t>
        </is>
      </c>
      <c r="B48" s="14" t="n"/>
      <c r="C48" s="14" t="n"/>
      <c r="D48" s="14" t="n"/>
    </row>
    <row r="49">
      <c r="A49" t="inlineStr">
        <is>
          <t xml:space="preserve">  dont Dette subordonnée</t>
        </is>
      </c>
      <c r="B49" s="14" t="n"/>
      <c r="C49" s="14" t="n"/>
      <c r="D49" s="14" t="n"/>
    </row>
    <row r="50">
      <c r="A50" t="inlineStr">
        <is>
          <t xml:space="preserve">  dont Dette hybride</t>
        </is>
      </c>
      <c r="B50" s="14" t="n"/>
      <c r="C50" s="14" t="n"/>
      <c r="D50" s="14" t="n"/>
    </row>
    <row r="51">
      <c r="A51" t="inlineStr">
        <is>
          <t xml:space="preserve">  dont Autres dettes</t>
        </is>
      </c>
      <c r="B51" s="14">
        <f>IF(ROUND('Saisie passif'!H19,3)=0,"",ROUND('Saisie passif'!H19,3)/1000)</f>
        <v/>
      </c>
      <c r="C51" s="14">
        <f>IF(ROUND('Saisie passif'!G19,3)=0,"",ROUND('Saisie passif'!G19,3)/1000)</f>
        <v/>
      </c>
      <c r="D51" s="14">
        <f>IF(ROUND('Saisie passif'!F19,3)=0,"",ROUND('Saisie passif'!F19,3)/1000)</f>
        <v/>
      </c>
    </row>
    <row r="52">
      <c r="A52" t="inlineStr">
        <is>
          <t xml:space="preserve">  dont Coupons courus</t>
        </is>
      </c>
      <c r="B52" s="14" t="n"/>
      <c r="C52" s="14" t="n"/>
      <c r="D52" s="14" t="n"/>
    </row>
    <row r="53">
      <c r="A53" s="2" t="inlineStr">
        <is>
          <t>Emprunts et autres passifs financiers courants</t>
        </is>
      </c>
      <c r="B53" s="2">
        <f>IF(COUNT(B54,B55,B56,B57,B58)=0,"",SUM(B54,B55,B56,B57,B58))</f>
        <v/>
      </c>
      <c r="C53" s="2">
        <f>IF(COUNT(C54,C55,C56,C57,C58)=0,"",SUM(C54,C55,C56,C57,C58))</f>
        <v/>
      </c>
      <c r="D53" s="2">
        <f>IF(COUNT(D54,D55,D56,D57,D58)=0,"",SUM(D54,D55,D56,D57,D58))</f>
        <v/>
      </c>
    </row>
    <row r="54">
      <c r="A54" t="inlineStr">
        <is>
          <t xml:space="preserve">  dont dette bancaire courante</t>
        </is>
      </c>
      <c r="B54" s="14">
        <f>IF(ROUND('Saisie passif'!H26,3)=0,"",ROUND('Saisie passif'!H26,3)/1000)</f>
        <v/>
      </c>
      <c r="C54" s="14">
        <f>IF(ROUND('Saisie passif'!G26,3)=0,"",ROUND('Saisie passif'!G26,3)/1000)</f>
        <v/>
      </c>
      <c r="D54" s="14">
        <f>IF(ROUND('Saisie passif'!F26,3)=0,"",ROUND('Saisie passif'!F26,3)/1000)</f>
        <v/>
      </c>
    </row>
    <row r="55">
      <c r="A55" t="inlineStr">
        <is>
          <t xml:space="preserve">  dont dette de marché courante</t>
        </is>
      </c>
      <c r="B55" s="14" t="n"/>
      <c r="C55" s="14" t="n"/>
      <c r="D55" s="14" t="n"/>
    </row>
    <row r="56">
      <c r="A56" t="inlineStr">
        <is>
          <t xml:space="preserve">  dont part courante des emprunts à long terme</t>
        </is>
      </c>
      <c r="B56" s="14" t="n"/>
      <c r="C56" s="14" t="n"/>
      <c r="D56" s="14" t="n"/>
    </row>
    <row r="57">
      <c r="A57" t="inlineStr">
        <is>
          <t xml:space="preserve">  dont Dette Courante Liée Aux Entités Fin. du Groupe</t>
        </is>
      </c>
      <c r="B57" s="14" t="n"/>
      <c r="C57" s="14" t="n"/>
      <c r="D57" s="14" t="n"/>
    </row>
    <row r="58">
      <c r="A58" t="inlineStr">
        <is>
          <t xml:space="preserve">  dont autres dettes financières courantes</t>
        </is>
      </c>
      <c r="B58" s="14" t="n"/>
      <c r="C58" s="14" t="n"/>
      <c r="D58" s="14" t="n"/>
    </row>
    <row r="59">
      <c r="A59" s="2" t="inlineStr">
        <is>
          <t>Impôts différés</t>
        </is>
      </c>
      <c r="B59" s="2">
        <f>IF(COUNT(B60,B61)=0,"",SUM(B60,B61))</f>
        <v/>
      </c>
      <c r="C59" s="2">
        <f>IF(COUNT(C60,C61)=0,"",SUM(C60,C61))</f>
        <v/>
      </c>
      <c r="D59" s="2">
        <f>IF(COUNT(D60,D61)=0,"",SUM(D60,D61))</f>
        <v/>
      </c>
    </row>
    <row r="60">
      <c r="A60" t="inlineStr">
        <is>
          <t xml:space="preserve">  dont Impôts différés non courants</t>
        </is>
      </c>
      <c r="B60" s="14">
        <f>IF(ROUND('Saisie passif'!H18,3)=0,"",ROUND('Saisie passif'!H18,3)/1000)</f>
        <v/>
      </c>
      <c r="C60" s="14">
        <f>IF(ROUND('Saisie passif'!G18,3)=0,"",ROUND('Saisie passif'!G18,3)/1000)</f>
        <v/>
      </c>
      <c r="D60" s="14">
        <f>IF(ROUND('Saisie passif'!F18,3)=0,"",ROUND('Saisie passif'!F18,3)/1000)</f>
        <v/>
      </c>
    </row>
    <row r="61">
      <c r="A61" t="inlineStr">
        <is>
          <t xml:space="preserve">  dont Impôts différés courants</t>
        </is>
      </c>
      <c r="B61" s="14" t="n"/>
      <c r="C61" s="14" t="n"/>
      <c r="D61" s="14" t="n"/>
    </row>
    <row r="62">
      <c r="A62" s="2" t="inlineStr">
        <is>
          <t>Dérivés</t>
        </is>
      </c>
      <c r="B62" s="2">
        <f>IF(COUNT(B63,B64)=0,"",SUM(B63,B64))</f>
        <v/>
      </c>
      <c r="C62" s="2">
        <f>IF(COUNT(C63,C64)=0,"",SUM(C63,C64))</f>
        <v/>
      </c>
      <c r="D62" s="2">
        <f>IF(COUNT(D63,D64)=0,"",SUM(D63,D64))</f>
        <v/>
      </c>
    </row>
    <row r="63">
      <c r="A63" t="inlineStr">
        <is>
          <t xml:space="preserve">  dont Produits dérivés non courants</t>
        </is>
      </c>
      <c r="B63" s="14" t="n"/>
      <c r="C63" s="14" t="n"/>
      <c r="D63" s="14" t="n"/>
    </row>
    <row r="64">
      <c r="A64" t="inlineStr">
        <is>
          <t xml:space="preserve">  dont Produits dérivés courants</t>
        </is>
      </c>
      <c r="B64" s="14" t="n"/>
      <c r="C64" s="14" t="n"/>
      <c r="D64" s="14" t="n"/>
    </row>
    <row r="65">
      <c r="A65" s="2" t="inlineStr">
        <is>
          <t>Autres Passifs</t>
        </is>
      </c>
      <c r="B65" s="2">
        <f>IF(COUNT(B66)=0,"",SUM(B66))</f>
        <v/>
      </c>
      <c r="C65" s="2">
        <f>IF(COUNT(C66)=0,"",SUM(C66))</f>
        <v/>
      </c>
      <c r="D65" s="2">
        <f>IF(COUNT(D66)=0,"",SUM(D66))</f>
        <v/>
      </c>
    </row>
    <row r="66">
      <c r="A66" t="inlineStr">
        <is>
          <t xml:space="preserve">  dont Autres</t>
        </is>
      </c>
      <c r="B66" s="14" t="n"/>
      <c r="C66" s="14" t="n"/>
      <c r="D66" s="14" t="n"/>
    </row>
    <row r="67">
      <c r="A67" t="inlineStr">
        <is>
          <t>Dettes fournisseurs</t>
        </is>
      </c>
      <c r="B67" s="14">
        <f>IF(ROUND('Saisie passif'!H23,3)=0,"",ROUND('Saisie passif'!H23,3)/1000)</f>
        <v/>
      </c>
      <c r="C67" s="14">
        <f>IF(ROUND('Saisie passif'!G23,3)=0,"",ROUND('Saisie passif'!G23,3)/1000)</f>
        <v/>
      </c>
      <c r="D67" s="14">
        <f>IF(ROUND('Saisie passif'!F23,3)=0,"",ROUND('Saisie passif'!F23,3)/1000)</f>
        <v/>
      </c>
    </row>
    <row r="68">
      <c r="A68" s="2" t="inlineStr">
        <is>
          <t>Produits différés &amp; Autres dettes d'exploitation</t>
        </is>
      </c>
      <c r="B68" s="2">
        <f>IF(COUNT(B69,B70,B71,B72,B73,B74)=0,"",SUM(B69,B70,B71,B72,B73,B74))</f>
        <v/>
      </c>
      <c r="C68" s="2">
        <f>IF(COUNT(C69,C70,C71,C72,C73,C74)=0,"",SUM(C69,C70,C71,C72,C73,C74))</f>
        <v/>
      </c>
      <c r="D68" s="2">
        <f>IF(COUNT(D69,D70,D71,D72,D73,D74)=0,"",SUM(D69,D70,D71,D72,D73,D74))</f>
        <v/>
      </c>
    </row>
    <row r="69">
      <c r="A69" t="inlineStr">
        <is>
          <t xml:space="preserve">  dont Montant Dûs aux Clients sur Contrats de LT</t>
        </is>
      </c>
      <c r="B69" s="14" t="n"/>
      <c r="C69" s="14" t="n"/>
      <c r="D69" s="14" t="n"/>
    </row>
    <row r="70">
      <c r="A70" t="inlineStr">
        <is>
          <t xml:space="preserve">  dont Avances Clients</t>
        </is>
      </c>
      <c r="B70" s="14" t="n"/>
      <c r="C70" s="14" t="n"/>
      <c r="D70" s="14" t="n"/>
    </row>
    <row r="71">
      <c r="A71" t="inlineStr">
        <is>
          <t xml:space="preserve">  dont passifs sur travaux en cours</t>
        </is>
      </c>
      <c r="B71" s="14" t="n"/>
      <c r="C71" s="14" t="n"/>
      <c r="D71" s="14" t="n"/>
    </row>
    <row r="72">
      <c r="A72" t="inlineStr">
        <is>
          <t xml:space="preserve">  dont Produits différés</t>
        </is>
      </c>
      <c r="B72" s="14" t="n"/>
      <c r="C72" s="14" t="n"/>
      <c r="D72" s="14" t="n"/>
    </row>
    <row r="73">
      <c r="A73" t="inlineStr">
        <is>
          <t xml:space="preserve">  dont Dividendes exigibles</t>
        </is>
      </c>
      <c r="B73" s="14" t="n"/>
      <c r="C73" s="14" t="n"/>
      <c r="D73" s="14" t="n"/>
    </row>
    <row r="74">
      <c r="A74" t="inlineStr">
        <is>
          <t xml:space="preserve">  dont Autres</t>
        </is>
      </c>
      <c r="B74" s="14">
        <f>IF(ROUND('Saisie passif'!H25,3)=0,"",ROUND('Saisie passif'!H25,3)/1000)</f>
        <v/>
      </c>
      <c r="C74" s="14">
        <f>IF(ROUND('Saisie passif'!G25,3)=0,"",ROUND('Saisie passif'!G25,3)/1000)</f>
        <v/>
      </c>
      <c r="D74" s="14">
        <f>IF(ROUND('Saisie passif'!F25,3)=0,"",ROUND('Saisie passif'!F25,3)/1000)</f>
        <v/>
      </c>
    </row>
    <row r="75">
      <c r="A75" s="2" t="inlineStr">
        <is>
          <t xml:space="preserve">  dont autres passifs courants</t>
        </is>
      </c>
      <c r="B75" s="2">
        <f>IF(COUNT(B76,B77,B78,B79)=0,"",SUM(B76,B77,B78,B79))</f>
        <v/>
      </c>
      <c r="C75" s="2">
        <f>IF(COUNT(C76,C77,C78,C79)=0,"",SUM(C76,C77,C78,C79))</f>
        <v/>
      </c>
      <c r="D75" s="2">
        <f>IF(COUNT(D76,D77,D78,D79)=0,"",SUM(D76,D77,D78,D79))</f>
        <v/>
      </c>
    </row>
    <row r="76">
      <c r="A76" t="inlineStr">
        <is>
          <t xml:space="preserve">    dette d'impôts courants</t>
        </is>
      </c>
      <c r="B76" s="14">
        <f>IF(ROUND('Saisie passif'!H24,3)=0,"",ROUND('Saisie passif'!H24,3)/1000)</f>
        <v/>
      </c>
      <c r="C76" s="14">
        <f>IF(ROUND('Saisie passif'!G24,3)=0,"",ROUND('Saisie passif'!G24,3)/1000)</f>
        <v/>
      </c>
      <c r="D76" s="14">
        <f>IF(ROUND('Saisie passif'!F24,3)=0,"",ROUND('Saisie passif'!F24,3)/1000)</f>
        <v/>
      </c>
    </row>
    <row r="77">
      <c r="A77" t="inlineStr">
        <is>
          <t xml:space="preserve">    dont autres dettes d'impôts</t>
        </is>
      </c>
      <c r="B77" s="14" t="n"/>
      <c r="C77" s="14" t="n"/>
      <c r="D77" s="14" t="n"/>
    </row>
    <row r="78">
      <c r="A78" t="inlineStr">
        <is>
          <t xml:space="preserve">    dont autres passifs circulants</t>
        </is>
      </c>
      <c r="B78" s="14" t="n"/>
      <c r="C78" s="14" t="n"/>
      <c r="D78" s="14" t="n"/>
    </row>
    <row r="79">
      <c r="A79" t="inlineStr">
        <is>
          <t xml:space="preserve">    dont autres</t>
        </is>
      </c>
      <c r="B79" s="14" t="n"/>
      <c r="C79" s="14" t="n"/>
      <c r="D79" s="14" t="n"/>
    </row>
    <row r="80">
      <c r="A80" s="2" t="inlineStr">
        <is>
          <t>TOTAL PASSIFS NON COURANTS</t>
        </is>
      </c>
      <c r="B80" s="2">
        <f>IF(COUNT(B37,B43,B60,B63,B65)=0,"",SUM(B37,B43,B60,B63,B65))</f>
        <v/>
      </c>
      <c r="C80" s="2">
        <f>IF(COUNT(C37,C43,C60,C63,C65)=0,"",SUM(C37,C43,C60,C63,C65))</f>
        <v/>
      </c>
      <c r="D80" s="2">
        <f>IF(COUNT(D37,D43,D60,D63,D65)=0,"",SUM(D37,D43,D60,D63,D65))</f>
        <v/>
      </c>
    </row>
    <row r="81">
      <c r="A81" s="2" t="inlineStr">
        <is>
          <t>TOTAL PASSIFS COURANTS</t>
        </is>
      </c>
      <c r="B81" s="2">
        <f>IF(COUNT(B53,B61,B64,B67,B68,B75)=0,"",SUM(B53,B61,B64,B67,B68,B75))</f>
        <v/>
      </c>
      <c r="C81" s="2">
        <f>IF(COUNT(C53,C61,C64,C67,C68,C75)=0,"",SUM(C53,C61,C64,C67,C68,C75))</f>
        <v/>
      </c>
      <c r="D81" s="2">
        <f>IF(COUNT(D53,D61,D64,D67,D68,D75)=0,"",SUM(D53,D61,D64,D67,D68,D75))</f>
        <v/>
      </c>
    </row>
    <row r="82">
      <c r="A82" t="inlineStr">
        <is>
          <t>Passifs liés à la cession d'actifs</t>
        </is>
      </c>
      <c r="B82" s="15" t="n"/>
      <c r="C82" s="15" t="n"/>
      <c r="D82" s="15" t="n"/>
    </row>
    <row r="83">
      <c r="A83" s="2" t="inlineStr">
        <is>
          <t>TOTAL ENGAGEMENTS</t>
        </is>
      </c>
      <c r="B83" s="2">
        <f>IF(COUNT(B80,B81,B82)=0,"",SUM(B80,B81,B82))</f>
        <v/>
      </c>
      <c r="C83" s="2">
        <f>IF(COUNT(C80,C81,C82)=0,"",SUM(C80,C81,C82))</f>
        <v/>
      </c>
      <c r="D83" s="2">
        <f>IF(COUNT(D80,D81,D82)=0,"",SUM(D80,D81,D82))</f>
        <v/>
      </c>
    </row>
    <row r="84">
      <c r="A84" s="2" t="inlineStr">
        <is>
          <t>TOTAL PASSIF</t>
        </is>
      </c>
      <c r="B84" s="2">
        <f>IF(COUNT(B35,B83)=0,"",SUM(B35,B83))</f>
        <v/>
      </c>
      <c r="C84" s="2">
        <f>IF(COUNT(C35,C83)=0,"",SUM(C35,C83))</f>
        <v/>
      </c>
      <c r="D84" s="2">
        <f>IF(COUNT(D35,D83)=0,"",SUM(D35,D83))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E17" sqref="E17:I22"/>
    </sheetView>
  </sheetViews>
  <sheetFormatPr baseColWidth="10" defaultColWidth="8.83203125" defaultRowHeight="15"/>
  <cols>
    <col width="55" customWidth="1" style="8" min="1" max="1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/>
    <row r="16">
      <c r="A16" t="inlineStr">
        <is>
          <t>Chiffre D'Affaires</t>
        </is>
      </c>
      <c r="B16" s="15">
        <f>IF(ROUND(('Saisie TCR'!N12-'Saisie TCR'!M12),3)=0,"",ROUND(('Saisie TCR'!N12-'Saisie TCR'!M12),3)/1000)</f>
        <v/>
      </c>
      <c r="C16" s="15">
        <f>IF(ROUND(('Saisie TCR'!L12-'Saisie TCR'!K12),3)=0,"",ROUND(('Saisie TCR'!L12-'Saisie TCR'!K12),3)/1000)</f>
        <v/>
      </c>
      <c r="D16" s="15">
        <f>IF(ROUND(('Saisie TCR'!J12-'Saisie TCR'!I12),3)=0,"",ROUND(('Saisie TCR'!J12-'Saisie TCR'!I12),3)/1000)</f>
        <v/>
      </c>
    </row>
    <row r="17">
      <c r="A17" t="inlineStr">
        <is>
          <t>Variation des stocks de produits finis</t>
        </is>
      </c>
      <c r="B17" s="15">
        <f>IF(ROUND(('Saisie TCR'!N13-'Saisie TCR'!M13),3)=0,"",ROUND(('Saisie TCR'!N13-'Saisie TCR'!M13),3)/1000)</f>
        <v/>
      </c>
      <c r="C17" s="15">
        <f>IF(ROUND(('Saisie TCR'!L13-'Saisie TCR'!K13),3)=0,"",ROUND(('Saisie TCR'!L13-'Saisie TCR'!K13),3)/1000)</f>
        <v/>
      </c>
      <c r="D17" s="15">
        <f>IF(ROUND(('Saisie TCR'!J13-'Saisie TCR'!I13),3)=0,"",ROUND(('Saisie TCR'!J13-'Saisie TCR'!I13),3)/1000)</f>
        <v/>
      </c>
    </row>
    <row r="18">
      <c r="A18" t="inlineStr">
        <is>
          <t>Coûts capitalisés (hors charges d'intérêts capitalisés)</t>
        </is>
      </c>
      <c r="B18" s="15">
        <f>IF(ROUND(('Saisie TCR'!N14-'Saisie TCR'!M14),3)=0,"",ROUND(('Saisie TCR'!N14-'Saisie TCR'!M14),3)/1000)</f>
        <v/>
      </c>
      <c r="C18" s="15">
        <f>IF(ROUND(('Saisie TCR'!L14-'Saisie TCR'!K14),3)=0,"",ROUND(('Saisie TCR'!L14-'Saisie TCR'!K14),3)/1000)</f>
        <v/>
      </c>
      <c r="D18" s="15">
        <f>IF(ROUND(('Saisie TCR'!J14-'Saisie TCR'!I14),3)=0,"",ROUND(('Saisie TCR'!J14-'Saisie TCR'!I14),3)/1000)</f>
        <v/>
      </c>
    </row>
    <row r="19">
      <c r="A19" s="2" t="inlineStr">
        <is>
          <t>Valeur de la production</t>
        </is>
      </c>
      <c r="B19" s="2">
        <f>IF(COUNT(B16,B17,B18)=0,"",SUM(B16,B17,B18))</f>
        <v/>
      </c>
      <c r="C19" s="2">
        <f>IF(COUNT(C16,C17,C18)=0,"",SUM(C16,C17,C18))</f>
        <v/>
      </c>
      <c r="D19" s="2">
        <f>IF(COUNT(D16,D17,D18)=0,"",SUM(D16,D17,D18))</f>
        <v/>
      </c>
    </row>
    <row r="20">
      <c r="A20" t="inlineStr">
        <is>
          <t>Achats de matières premières</t>
        </is>
      </c>
      <c r="B20" s="15">
        <f>IF(ROUND(('Saisie TCR'!N18-'Saisie TCR'!M18) + ('Saisie TCR'!N19-'Saisie TCR'!M19),3)=0,"",ROUND(('Saisie TCR'!N18-'Saisie TCR'!M18) + ('Saisie TCR'!N19-'Saisie TCR'!M19),3)/1000)</f>
        <v/>
      </c>
      <c r="C20" s="15">
        <f>IF(ROUND(('Saisie TCR'!L18-'Saisie TCR'!K18) + ('Saisie TCR'!L19-'Saisie TCR'!K19),3)=0,"",ROUND(('Saisie TCR'!L18-'Saisie TCR'!K18) + ('Saisie TCR'!L19-'Saisie TCR'!K19),3)/1000)</f>
        <v/>
      </c>
      <c r="D20" s="15">
        <f>IF(ROUND(('Saisie TCR'!J18-'Saisie TCR'!I18) + ('Saisie TCR'!J19-'Saisie TCR'!I19),3)=0,"",ROUND(('Saisie TCR'!J18-'Saisie TCR'!I18) + ('Saisie TCR'!J19-'Saisie TCR'!I19),3)/1000)</f>
        <v/>
      </c>
    </row>
    <row r="21">
      <c r="A21" t="inlineStr">
        <is>
          <t>Achats de Marchandises</t>
        </is>
      </c>
      <c r="B21" s="15">
        <f>IF(ROUND(('Saisie TCR'!N17-'Saisie TCR'!M17),3)=0,"",ROUND(('Saisie TCR'!N17-'Saisie TCR'!M17),3)/1000)</f>
        <v/>
      </c>
      <c r="C21" s="15">
        <f>IF(ROUND(('Saisie TCR'!L17-'Saisie TCR'!K17),3)=0,"",ROUND(('Saisie TCR'!L17-'Saisie TCR'!K17),3)/1000)</f>
        <v/>
      </c>
      <c r="D21" s="15">
        <f>IF(ROUND(('Saisie TCR'!J17-'Saisie TCR'!I17),3)=0,"",ROUND(('Saisie TCR'!J17-'Saisie TCR'!I17),3)/1000)</f>
        <v/>
      </c>
    </row>
    <row r="22">
      <c r="A22" s="2" t="inlineStr">
        <is>
          <t>Variation des autres stocks</t>
        </is>
      </c>
      <c r="B22" s="2">
        <f>IF(COUNT(B23,B24,B25)=0,"",SUM(B23,B24,B25))</f>
        <v/>
      </c>
      <c r="C22" s="2">
        <f>IF(COUNT(C23,C24,C25)=0,"",SUM(C23,C24,C25))</f>
        <v/>
      </c>
      <c r="D22" s="2">
        <f>IF(COUNT(D23,D24,D25)=0,"",SUM(D23,D24,D25))</f>
        <v/>
      </c>
    </row>
    <row r="23">
      <c r="A23" t="inlineStr">
        <is>
          <t xml:space="preserve">  dont variation de stocks de matières premières</t>
        </is>
      </c>
      <c r="B23" s="15" t="n"/>
      <c r="C23" s="15" t="n"/>
      <c r="D23" s="15" t="n"/>
    </row>
    <row r="24">
      <c r="A24" t="inlineStr">
        <is>
          <t xml:space="preserve">  dont variation de stocks de marchandises</t>
        </is>
      </c>
      <c r="B24" s="15" t="n"/>
      <c r="C24" s="15" t="n"/>
      <c r="D24" s="15" t="n"/>
    </row>
    <row r="25">
      <c r="A25" t="inlineStr">
        <is>
          <t xml:space="preserve">  dont non alloué</t>
        </is>
      </c>
      <c r="B25" s="15">
        <f>IF(ROUND(('Saisie TCR'!N20-'Saisie TCR'!M20),3)=0,"",ROUND(('Saisie TCR'!N20-'Saisie TCR'!M20),3)/1000)</f>
        <v/>
      </c>
      <c r="C25" s="15">
        <f>IF(ROUND(('Saisie TCR'!L20-'Saisie TCR'!K20),3)=0,"",ROUND(('Saisie TCR'!L20-'Saisie TCR'!K20),3)/1000)</f>
        <v/>
      </c>
      <c r="D25" s="15">
        <f>IF(ROUND(('Saisie TCR'!J20-'Saisie TCR'!I20),3)=0,"",ROUND(('Saisie TCR'!J20-'Saisie TCR'!I20),3)/1000)</f>
        <v/>
      </c>
    </row>
    <row r="26">
      <c r="A26" t="inlineStr">
        <is>
          <t>Sous traitance &amp; Charges externes</t>
        </is>
      </c>
      <c r="B26" s="15">
        <f>IF(ROUND(('Saisie TCR'!N21-'Saisie TCR'!M21) + ('Saisie TCR'!N22-'Saisie TCR'!M22) + ('Saisie TCR'!N23-'Saisie TCR'!M23) + ('Saisie TCR'!N24-'Saisie TCR'!M24) + ('Saisie TCR'!N26-'Saisie TCR'!M26) + ('Saisie TCR'!N27-'Saisie TCR'!M27) + ('Saisie TCR'!N30-'Saisie TCR'!M30) + ('Saisie TCR'!N31-'Saisie TCR'!M31) + ('Saisie TCR'!N32-'Saisie TCR'!M32) + ('Saisie TCR'!N33-'Saisie TCR'!M33),3)=0,"",ROUND(('Saisie TCR'!N21-'Saisie TCR'!M21) + ('Saisie TCR'!N22-'Saisie TCR'!M22) + ('Saisie TCR'!N23-'Saisie TCR'!M23) + ('Saisie TCR'!N24-'Saisie TCR'!M24) + ('Saisie TCR'!N26-'Saisie TCR'!M26) + ('Saisie TCR'!N27-'Saisie TCR'!M27) + ('Saisie TCR'!N30-'Saisie TCR'!M30) + ('Saisie TCR'!N31-'Saisie TCR'!M31) + ('Saisie TCR'!N32-'Saisie TCR'!M32) + ('Saisie TCR'!N33-'Saisie TCR'!M33),3)/1000)</f>
        <v/>
      </c>
      <c r="C26" s="15">
        <f>IF(ROUND(('Saisie TCR'!L21-'Saisie TCR'!K21) + ('Saisie TCR'!L22-'Saisie TCR'!K22) + ('Saisie TCR'!L23-'Saisie TCR'!K23) + ('Saisie TCR'!L24-'Saisie TCR'!K24) + ('Saisie TCR'!L26-'Saisie TCR'!K26) + ('Saisie TCR'!L27-'Saisie TCR'!K27) + ('Saisie TCR'!L30-'Saisie TCR'!K30) + ('Saisie TCR'!L31-'Saisie TCR'!K31) + ('Saisie TCR'!L32-'Saisie TCR'!K32) + ('Saisie TCR'!L33-'Saisie TCR'!K33),3)=0,"",ROUND(('Saisie TCR'!L21-'Saisie TCR'!K21) + ('Saisie TCR'!L22-'Saisie TCR'!K22) + ('Saisie TCR'!L23-'Saisie TCR'!K23) + ('Saisie TCR'!L24-'Saisie TCR'!K24) + ('Saisie TCR'!L26-'Saisie TCR'!K26) + ('Saisie TCR'!L27-'Saisie TCR'!K27) + ('Saisie TCR'!L30-'Saisie TCR'!K30) + ('Saisie TCR'!L31-'Saisie TCR'!K31) + ('Saisie TCR'!L32-'Saisie TCR'!K32) + ('Saisie TCR'!L33-'Saisie TCR'!K33),3)/1000)</f>
        <v/>
      </c>
      <c r="D26" s="15">
        <f>IF(ROUND(('Saisie TCR'!J21-'Saisie TCR'!I21) + ('Saisie TCR'!J22-'Saisie TCR'!I22) + ('Saisie TCR'!J23-'Saisie TCR'!I23) + ('Saisie TCR'!J24-'Saisie TCR'!I24) + ('Saisie TCR'!J26-'Saisie TCR'!I26) + ('Saisie TCR'!J27-'Saisie TCR'!I27) + ('Saisie TCR'!J30-'Saisie TCR'!I30) + ('Saisie TCR'!J31-'Saisie TCR'!I31) + ('Saisie TCR'!J32-'Saisie TCR'!I32) + ('Saisie TCR'!J33-'Saisie TCR'!I33),3)=0,"",ROUND(('Saisie TCR'!J21-'Saisie TCR'!I21) + ('Saisie TCR'!J22-'Saisie TCR'!I22) + ('Saisie TCR'!J23-'Saisie TCR'!I23) + ('Saisie TCR'!J24-'Saisie TCR'!I24) + ('Saisie TCR'!J26-'Saisie TCR'!I26) + ('Saisie TCR'!J27-'Saisie TCR'!I27) + ('Saisie TCR'!J30-'Saisie TCR'!I30) + ('Saisie TCR'!J31-'Saisie TCR'!I31) + ('Saisie TCR'!J32-'Saisie TCR'!I32) + ('Saisie TCR'!J33-'Saisie TCR'!I33),3)/1000)</f>
        <v/>
      </c>
    </row>
    <row r="27">
      <c r="A27" t="inlineStr">
        <is>
          <t>Autres charges &amp; produits (hors dépenses de personnel externe)</t>
        </is>
      </c>
      <c r="B27" s="15">
        <f>IF(ROUND(('Saisie TCR'!N15-'Saisie TCR'!M15) + ('Saisie TCR'!N37-'Saisie TCR'!M37) + ('Saisie TCR'!N39-'Saisie TCR'!M39) + ('Saisie TCR'!N40-'Saisie TCR'!M40),3)=0,"",ROUND(('Saisie TCR'!N15-'Saisie TCR'!M15) + ('Saisie TCR'!N37-'Saisie TCR'!M37) + ('Saisie TCR'!N39-'Saisie TCR'!M39) + ('Saisie TCR'!N40-'Saisie TCR'!M40),3)/1000)</f>
        <v/>
      </c>
      <c r="C27" s="15">
        <f>IF(ROUND(('Saisie TCR'!L15-'Saisie TCR'!K15) + ('Saisie TCR'!L37-'Saisie TCR'!K37) + ('Saisie TCR'!L39-'Saisie TCR'!K39) + ('Saisie TCR'!L40-'Saisie TCR'!K40),3)=0,"",ROUND(('Saisie TCR'!L15-'Saisie TCR'!K15) + ('Saisie TCR'!L37-'Saisie TCR'!K37) + ('Saisie TCR'!L39-'Saisie TCR'!K39) + ('Saisie TCR'!L40-'Saisie TCR'!K40),3)/1000)</f>
        <v/>
      </c>
      <c r="D27" s="15">
        <f>IF(ROUND(('Saisie TCR'!J15-'Saisie TCR'!I15) + ('Saisie TCR'!J37-'Saisie TCR'!I37) + ('Saisie TCR'!J39-'Saisie TCR'!I39) + ('Saisie TCR'!J40-'Saisie TCR'!I40),3)=0,"",ROUND(('Saisie TCR'!J15-'Saisie TCR'!I15) + ('Saisie TCR'!J37-'Saisie TCR'!I37) + ('Saisie TCR'!J39-'Saisie TCR'!I39) + ('Saisie TCR'!J40-'Saisie TCR'!I40),3)/1000)</f>
        <v/>
      </c>
    </row>
    <row r="28">
      <c r="A28" s="2" t="inlineStr">
        <is>
          <t>Valeur Ajoutée</t>
        </is>
      </c>
      <c r="B28" s="2">
        <f>IF(COUNT(B19,B20,B21,B22,B26,B27)=0,"",SUM(B19,B20,B21,B22,B26,B27))</f>
        <v/>
      </c>
      <c r="C28" s="2">
        <f>IF(COUNT(C19,C20,C21,C22,C26,C27)=0,"",SUM(C19,C20,C21,C22,C26,C27))</f>
        <v/>
      </c>
      <c r="D28" s="2">
        <f>IF(COUNT(D19,D20,D21,D22,D26,D27)=0,"",SUM(D19,D20,D21,D22,D26,D27))</f>
        <v/>
      </c>
    </row>
    <row r="29">
      <c r="A29" t="inlineStr">
        <is>
          <t>Coût du travail et Dépenses de personnel externalisées (Honoraires, ..)</t>
        </is>
      </c>
      <c r="B29" s="15">
        <f>IF(ROUND(('Saisie TCR'!N36-'Saisie TCR'!M36) + ('Saisie TCR'!N28-'Saisie TCR'!M28) + ('Saisie TCR'!N29-'Saisie TCR'!M29),3)=0,"",ROUND(('Saisie TCR'!N36-'Saisie TCR'!M36) + ('Saisie TCR'!N28-'Saisie TCR'!M28) + ('Saisie TCR'!N29-'Saisie TCR'!M29),3)/1000)</f>
        <v/>
      </c>
      <c r="C29" s="15">
        <f>IF(ROUND(('Saisie TCR'!L36-'Saisie TCR'!K36) + ('Saisie TCR'!L28-'Saisie TCR'!K28) + ('Saisie TCR'!L29-'Saisie TCR'!K29),3)=0,"",ROUND(('Saisie TCR'!L36-'Saisie TCR'!K36) + ('Saisie TCR'!L28-'Saisie TCR'!K28) + ('Saisie TCR'!L29-'Saisie TCR'!K29),3)/1000)</f>
        <v/>
      </c>
      <c r="D29" s="15">
        <f>IF(ROUND(('Saisie TCR'!J36-'Saisie TCR'!I36) + ('Saisie TCR'!J28-'Saisie TCR'!I28) + ('Saisie TCR'!J29-'Saisie TCR'!I29),3)=0,"",ROUND(('Saisie TCR'!J36-'Saisie TCR'!I36) + ('Saisie TCR'!J28-'Saisie TCR'!I28) + ('Saisie TCR'!J29-'Saisie TCR'!I29),3)/1000)</f>
        <v/>
      </c>
    </row>
    <row r="30">
      <c r="A30" s="2" t="inlineStr">
        <is>
          <t>EBITDAR</t>
        </is>
      </c>
      <c r="B30" s="2">
        <f>IF(COUNT(B28,B29)=0,"",SUM(B28,B29))</f>
        <v/>
      </c>
      <c r="C30" s="2">
        <f>IF(COUNT(C28,C29)=0,"",SUM(C28,C29))</f>
        <v/>
      </c>
      <c r="D30" s="2">
        <f>IF(COUNT(D28,D29)=0,"",SUM(D28,D29))</f>
        <v/>
      </c>
    </row>
    <row r="31">
      <c r="A31" t="inlineStr">
        <is>
          <t>Loyers de location simple</t>
        </is>
      </c>
      <c r="B31" s="15">
        <f>IF(ROUND(('Saisie TCR'!N25-'Saisie TCR'!M25),3)=0,"",ROUND(('Saisie TCR'!N25-'Saisie TCR'!M25),3)/1000)</f>
        <v/>
      </c>
      <c r="C31" s="15">
        <f>IF(ROUND(('Saisie TCR'!L25-'Saisie TCR'!K25),3)=0,"",ROUND(('Saisie TCR'!L25-'Saisie TCR'!K25),3)/1000)</f>
        <v/>
      </c>
      <c r="D31" s="15">
        <f>IF(ROUND(('Saisie TCR'!J25-'Saisie TCR'!I25),3)=0,"",ROUND(('Saisie TCR'!J25-'Saisie TCR'!I25),3)/1000)</f>
        <v/>
      </c>
    </row>
    <row r="32">
      <c r="A32" s="2" t="inlineStr">
        <is>
          <t>EBITDA</t>
        </is>
      </c>
      <c r="B32" s="2">
        <f>IF(COUNT(B30,B31)=0,"",SUM(B30,B31))</f>
        <v/>
      </c>
      <c r="C32" s="2">
        <f>IF(COUNT(C30,C31)=0,"",SUM(C30,C31))</f>
        <v/>
      </c>
      <c r="D32" s="2">
        <f>IF(COUNT(D30,D31)=0,"",SUM(D30,D31))</f>
        <v/>
      </c>
    </row>
    <row r="33">
      <c r="A33" t="inlineStr">
        <is>
          <t>Dotation aux amort. des immo. Corporelles</t>
        </is>
      </c>
      <c r="B33" s="15">
        <f>IF(ROUND(('Saisie TCR'!N41-'Saisie TCR'!M41),3)=0,"",ROUND(('Saisie TCR'!N41-'Saisie TCR'!M41),3)/1000)</f>
        <v/>
      </c>
      <c r="C33" s="15">
        <f>IF(ROUND(('Saisie TCR'!L41-'Saisie TCR'!K41),3)=0,"",ROUND(('Saisie TCR'!L41-'Saisie TCR'!K41),3)/1000)</f>
        <v/>
      </c>
      <c r="D33" s="15">
        <f>IF(ROUND(('Saisie TCR'!J41-'Saisie TCR'!I41),3)=0,"",ROUND(('Saisie TCR'!J41-'Saisie TCR'!I41),3)/1000)</f>
        <v/>
      </c>
    </row>
    <row r="34">
      <c r="A34" t="inlineStr">
        <is>
          <t>Dotation aux amortissements des immo. Incorp.</t>
        </is>
      </c>
      <c r="B34" s="15" t="n"/>
      <c r="C34" s="15" t="n"/>
      <c r="D34" s="15" t="n"/>
    </row>
    <row r="35">
      <c r="A35" t="inlineStr">
        <is>
          <t>Dépréciation des immo corporelles et incorporelles</t>
        </is>
      </c>
      <c r="B35" s="15" t="n"/>
      <c r="C35" s="15" t="n"/>
      <c r="D35" s="15" t="n"/>
    </row>
    <row r="36">
      <c r="A36" s="2" t="inlineStr">
        <is>
          <t>Résultat opérationnel courant</t>
        </is>
      </c>
      <c r="B36" s="2">
        <f>IF(COUNT(B32,B33,B34,B35)=0,"",SUM(B32,B33,B34,B35))</f>
        <v/>
      </c>
      <c r="C36" s="2">
        <f>IF(COUNT(C32,C33,C34,C35)=0,"",SUM(C32,C33,C34,C35))</f>
        <v/>
      </c>
      <c r="D36" s="2">
        <f>IF(COUNT(D32,D33,D34,D35)=0,"",SUM(D32,D33,D34,D35))</f>
        <v/>
      </c>
    </row>
    <row r="37">
      <c r="A37" t="inlineStr">
        <is>
          <t>Dépréciation des actifs corporels et incorporels</t>
        </is>
      </c>
      <c r="B37" s="15">
        <f>IF(ROUND(('Saisie TCR'!N44-'Saisie TCR'!M44),3)=0,"",ROUND(('Saisie TCR'!N44-'Saisie TCR'!M44),3)/1000)</f>
        <v/>
      </c>
      <c r="C37" s="15">
        <f>IF(ROUND(('Saisie TCR'!L44-'Saisie TCR'!K44),3)=0,"",ROUND(('Saisie TCR'!L44-'Saisie TCR'!K44),3)/1000)</f>
        <v/>
      </c>
      <c r="D37" s="15">
        <f>IF(ROUND(('Saisie TCR'!J44-'Saisie TCR'!I44),3)=0,"",ROUND(('Saisie TCR'!J44-'Saisie TCR'!I44),3)/1000)</f>
        <v/>
      </c>
    </row>
    <row r="38">
      <c r="A38" t="inlineStr">
        <is>
          <t>Provisions / réserves</t>
        </is>
      </c>
      <c r="B38" s="15">
        <f>IF(ROUND(('Saisie TCR'!N42-'Saisie TCR'!M42) + ('Saisie TCR'!N43-'Saisie TCR'!M43),3)=0,"",ROUND(('Saisie TCR'!N42-'Saisie TCR'!M42) + ('Saisie TCR'!N43-'Saisie TCR'!M43),3)/1000)</f>
        <v/>
      </c>
      <c r="C38" s="15">
        <f>IF(ROUND(('Saisie TCR'!L42-'Saisie TCR'!K42) + ('Saisie TCR'!L43-'Saisie TCR'!K43),3)=0,"",ROUND(('Saisie TCR'!L42-'Saisie TCR'!K42) + ('Saisie TCR'!L43-'Saisie TCR'!K43),3)/1000)</f>
        <v/>
      </c>
      <c r="D38" s="15">
        <f>IF(ROUND(('Saisie TCR'!J42-'Saisie TCR'!I42) + ('Saisie TCR'!J43-'Saisie TCR'!I43),3)=0,"",ROUND(('Saisie TCR'!J42-'Saisie TCR'!I42) + ('Saisie TCR'!J43-'Saisie TCR'!I43),3)/1000)</f>
        <v/>
      </c>
    </row>
    <row r="39">
      <c r="A39" s="2" t="inlineStr">
        <is>
          <t>Charges de restructuration</t>
        </is>
      </c>
      <c r="B39" s="2">
        <f>IF(COUNT(B40,B41)=0,"",SUM(B40,B41))</f>
        <v/>
      </c>
      <c r="C39" s="2">
        <f>IF(COUNT(C40,C41)=0,"",SUM(C40,C41))</f>
        <v/>
      </c>
      <c r="D39" s="2">
        <f>IF(COUNT(D40,D41)=0,"",SUM(D40,D41))</f>
        <v/>
      </c>
    </row>
    <row r="40">
      <c r="A40" t="inlineStr">
        <is>
          <t xml:space="preserve">  dont charges cash de l'année</t>
        </is>
      </c>
      <c r="B40" s="15" t="n"/>
      <c r="C40" s="15" t="n"/>
      <c r="D40" s="15" t="n"/>
    </row>
    <row r="41">
      <c r="A41" t="inlineStr">
        <is>
          <t xml:space="preserve">  dont variation de provisions</t>
        </is>
      </c>
      <c r="B41" s="15" t="n"/>
      <c r="C41" s="15" t="n"/>
      <c r="D41" s="15" t="n"/>
    </row>
    <row r="42">
      <c r="A42" t="inlineStr">
        <is>
          <t>Produits / charges nets de cessions</t>
        </is>
      </c>
      <c r="B42" s="15" t="n"/>
      <c r="C42" s="15" t="n"/>
      <c r="D42" s="15" t="n"/>
    </row>
    <row r="43">
      <c r="A43" s="2" t="inlineStr">
        <is>
          <t>Autre Produits / Charges non récurrents</t>
        </is>
      </c>
      <c r="B43" s="2">
        <f>IF(COUNT(B44,B45)=0,"",SUM(B44,B45))</f>
        <v/>
      </c>
      <c r="C43" s="2">
        <f>IF(COUNT(C44,C45)=0,"",SUM(C44,C45))</f>
        <v/>
      </c>
      <c r="D43" s="2">
        <f>IF(COUNT(D44,D45)=0,"",SUM(D44,D45))</f>
        <v/>
      </c>
    </row>
    <row r="44">
      <c r="A44" t="inlineStr">
        <is>
          <t xml:space="preserve">  dont Eléments cash</t>
        </is>
      </c>
      <c r="B44" s="15">
        <f>IF(ROUND(('Saisie TCR'!N50-'Saisie TCR'!M50) + ('Saisie TCR'!N51-'Saisie TCR'!M51),3)=0,"",ROUND(('Saisie TCR'!N50-'Saisie TCR'!M50) + ('Saisie TCR'!N51-'Saisie TCR'!M51),3)/1000)</f>
        <v/>
      </c>
      <c r="C44" s="15">
        <f>IF(ROUND(('Saisie TCR'!L50-'Saisie TCR'!K50) + ('Saisie TCR'!L51-'Saisie TCR'!K51),3)=0,"",ROUND(('Saisie TCR'!L50-'Saisie TCR'!K50) + ('Saisie TCR'!L51-'Saisie TCR'!K51),3)/1000)</f>
        <v/>
      </c>
      <c r="D44" s="15">
        <f>IF(ROUND(('Saisie TCR'!J50-'Saisie TCR'!I50) + ('Saisie TCR'!J51-'Saisie TCR'!I51),3)=0,"",ROUND(('Saisie TCR'!J50-'Saisie TCR'!I50) + ('Saisie TCR'!J51-'Saisie TCR'!I51),3)/1000)</f>
        <v/>
      </c>
    </row>
    <row r="45">
      <c r="A45" t="inlineStr">
        <is>
          <t xml:space="preserve">  dont Eléments non cash</t>
        </is>
      </c>
      <c r="B45" s="15" t="n"/>
      <c r="C45" s="15" t="n"/>
      <c r="D45" s="15" t="n"/>
    </row>
    <row r="46">
      <c r="A46" s="2" t="inlineStr">
        <is>
          <t>Résult. opérationnel (yc élem non cour)</t>
        </is>
      </c>
      <c r="B46" s="2">
        <f>IF(COUNT(B36,B37,B38,B39,B42,B43)=0,"",SUM(B36,B37,B38,B39,B42,B43))</f>
        <v/>
      </c>
      <c r="C46" s="2">
        <f>IF(COUNT(C36,C37,C38,C39,C42,C43)=0,"",SUM(C36,C37,C38,C39,C42,C43))</f>
        <v/>
      </c>
      <c r="D46" s="2">
        <f>IF(COUNT(D36,D37,D38,D39,D42,D43)=0,"",SUM(D36,D37,D38,D39,D42,D43))</f>
        <v/>
      </c>
    </row>
    <row r="47">
      <c r="A47" t="inlineStr">
        <is>
          <t>Charges d'intérêts</t>
        </is>
      </c>
      <c r="B47" s="15">
        <f>IF(ROUND(('Saisie TCR'!N47-'Saisie TCR'!M47),3)=0,"",ROUND(('Saisie TCR'!N47-'Saisie TCR'!M47),3)/1000)</f>
        <v/>
      </c>
      <c r="C47" s="15">
        <f>IF(ROUND(('Saisie TCR'!L47-'Saisie TCR'!K47),3)=0,"",ROUND(('Saisie TCR'!L47-'Saisie TCR'!K47),3)/1000)</f>
        <v/>
      </c>
      <c r="D47" s="15">
        <f>IF(ROUND(('Saisie TCR'!J47-'Saisie TCR'!I47),3)=0,"",ROUND(('Saisie TCR'!J47-'Saisie TCR'!I47),3)/1000)</f>
        <v/>
      </c>
    </row>
    <row r="48">
      <c r="A48" s="2" t="inlineStr">
        <is>
          <t>Revenus d'intérêt / dividendes</t>
        </is>
      </c>
      <c r="B48" s="2">
        <f>IF(COUNT(B49,B50,B51,B52)=0,"",SUM(B49,B50,B51,B52))</f>
        <v/>
      </c>
      <c r="C48" s="2">
        <f>IF(COUNT(C49,C50,C51,C52)=0,"",SUM(C49,C50,C51,C52))</f>
        <v/>
      </c>
      <c r="D48" s="2">
        <f>IF(COUNT(D49,D50,D51,D52)=0,"",SUM(D49,D50,D51,D52))</f>
        <v/>
      </c>
    </row>
    <row r="49">
      <c r="A49" t="inlineStr">
        <is>
          <t xml:space="preserve">  dont produit d'intérêt de la trésorerie</t>
        </is>
      </c>
      <c r="B49" s="15" t="n"/>
      <c r="C49" s="15" t="n"/>
      <c r="D49" s="15" t="n"/>
    </row>
    <row r="50">
      <c r="A50" t="inlineStr">
        <is>
          <t xml:space="preserve">  dont Produit d'intérêt</t>
        </is>
      </c>
      <c r="B50" s="15">
        <f>IF(ROUND(('Saisie TCR'!N46-'Saisie TCR'!M46),3)=0,"",ROUND(('Saisie TCR'!N46-'Saisie TCR'!M46),3)/1000)</f>
        <v/>
      </c>
      <c r="C50" s="15">
        <f>IF(ROUND(('Saisie TCR'!L46-'Saisie TCR'!K46),3)=0,"",ROUND(('Saisie TCR'!L46-'Saisie TCR'!K46),3)/1000)</f>
        <v/>
      </c>
      <c r="D50" s="15">
        <f>IF(ROUND(('Saisie TCR'!J46-'Saisie TCR'!I46),3)=0,"",ROUND(('Saisie TCR'!J46-'Saisie TCR'!I46),3)/1000)</f>
        <v/>
      </c>
    </row>
    <row r="51">
      <c r="A51" t="inlineStr">
        <is>
          <t xml:space="preserve">  dont dividendes</t>
        </is>
      </c>
      <c r="B51" s="15" t="n"/>
      <c r="C51" s="15" t="n"/>
      <c r="D51" s="15" t="n"/>
    </row>
    <row r="52">
      <c r="A52" t="inlineStr">
        <is>
          <t xml:space="preserve">  dont Gains / Pertes en capital sur actifs financiers</t>
        </is>
      </c>
      <c r="B52" s="15" t="n"/>
      <c r="C52" s="15" t="n"/>
      <c r="D52" s="15" t="n"/>
    </row>
    <row r="53">
      <c r="A53" t="inlineStr">
        <is>
          <t>Désactualisation de provisions</t>
        </is>
      </c>
      <c r="B53" s="15" t="n"/>
      <c r="C53" s="15" t="n"/>
      <c r="D53" s="15" t="n"/>
    </row>
    <row r="54">
      <c r="A54" t="inlineStr">
        <is>
          <t>Réévaluation de la dette hybride</t>
        </is>
      </c>
      <c r="B54" s="15" t="n"/>
      <c r="C54" s="15" t="n"/>
      <c r="D54" s="15" t="n"/>
    </row>
    <row r="55">
      <c r="A55" s="2" t="inlineStr">
        <is>
          <t>Ajustements de valeur sur actifs financiers</t>
        </is>
      </c>
      <c r="B55" s="2">
        <f>IF(COUNT(B56,B57)=0,"",SUM(B56,B57))</f>
        <v/>
      </c>
      <c r="C55" s="2">
        <f>IF(COUNT(C56,C57)=0,"",SUM(C56,C57))</f>
        <v/>
      </c>
      <c r="D55" s="2">
        <f>IF(COUNT(D56,D57)=0,"",SUM(D56,D57))</f>
        <v/>
      </c>
    </row>
    <row r="56">
      <c r="A56" t="inlineStr">
        <is>
          <t xml:space="preserve">  dont Dérivés</t>
        </is>
      </c>
      <c r="B56" s="15" t="n"/>
      <c r="C56" s="15" t="n"/>
      <c r="D56" s="15" t="n"/>
    </row>
    <row r="57">
      <c r="A57" t="inlineStr">
        <is>
          <t xml:space="preserve">  dont autres</t>
        </is>
      </c>
      <c r="B57" s="15" t="n"/>
      <c r="C57" s="15" t="n"/>
      <c r="D57" s="15" t="n"/>
    </row>
    <row r="58">
      <c r="A58" s="2" t="inlineStr">
        <is>
          <t>Autres produits et charges financières</t>
        </is>
      </c>
      <c r="B58" s="2">
        <f>IF(COUNT(B59,B60)=0,"",SUM(B59,B60))</f>
        <v/>
      </c>
      <c r="C58" s="2">
        <f>IF(COUNT(C59,C60)=0,"",SUM(C59,C60))</f>
        <v/>
      </c>
      <c r="D58" s="2">
        <f>IF(COUNT(D59,D60)=0,"",SUM(D59,D60))</f>
        <v/>
      </c>
    </row>
    <row r="59">
      <c r="A59" t="inlineStr">
        <is>
          <t xml:space="preserve">  dont Gains / Pertes liés au change</t>
        </is>
      </c>
      <c r="B59" s="15" t="n"/>
      <c r="C59" s="15" t="n"/>
      <c r="D59" s="15" t="n"/>
    </row>
    <row r="60">
      <c r="A60" t="inlineStr">
        <is>
          <t xml:space="preserve">  dont Autres</t>
        </is>
      </c>
      <c r="B60" s="15" t="n"/>
      <c r="C60" s="15" t="n"/>
      <c r="D60" s="15" t="n"/>
    </row>
    <row r="61">
      <c r="A61" s="2" t="inlineStr">
        <is>
          <t>Résultat financier net</t>
        </is>
      </c>
      <c r="B61" s="2">
        <f>IF(COUNT(B47,B48,B53,B54,B55,B58)=0,"",SUM(B47,B48,B53,B54,B55,B58))</f>
        <v/>
      </c>
      <c r="C61" s="2">
        <f>IF(COUNT(C47,C48,C53,C54,C55,C58)=0,"",SUM(C47,C48,C53,C54,C55,C58))</f>
        <v/>
      </c>
      <c r="D61" s="2">
        <f>IF(COUNT(D47,D48,D53,D54,D55,D58)=0,"",SUM(D47,D48,D53,D54,D55,D58))</f>
        <v/>
      </c>
    </row>
    <row r="62">
      <c r="A62" s="2" t="inlineStr">
        <is>
          <t>Résultat avant impôts</t>
        </is>
      </c>
      <c r="B62" s="2">
        <f>IF(COUNT(B46,B61)=0,"",SUM(B46,B61))</f>
        <v/>
      </c>
      <c r="C62" s="2">
        <f>IF(COUNT(C46,C61)=0,"",SUM(C46,C61))</f>
        <v/>
      </c>
      <c r="D62" s="2">
        <f>IF(COUNT(D46,D61)=0,"",SUM(D46,D61))</f>
        <v/>
      </c>
    </row>
    <row r="63">
      <c r="A63" s="2" t="inlineStr">
        <is>
          <t>Impôts</t>
        </is>
      </c>
      <c r="B63" s="2">
        <f>IF(COUNT(B64,B65)=0,"",SUM(B64,B65))</f>
        <v/>
      </c>
      <c r="C63" s="2">
        <f>IF(COUNT(C64,C65)=0,"",SUM(C64,C65))</f>
        <v/>
      </c>
      <c r="D63" s="2">
        <f>IF(COUNT(D64,D65)=0,"",SUM(D64,D65))</f>
        <v/>
      </c>
    </row>
    <row r="64">
      <c r="A64" t="inlineStr">
        <is>
          <t xml:space="preserve">  dont Impôts courants</t>
        </is>
      </c>
      <c r="B64" s="15">
        <f>IF(ROUND(('Saisie TCR'!N53-'Saisie TCR'!M53),3)=0,"",ROUND(('Saisie TCR'!N53-'Saisie TCR'!M53),3)/1000)</f>
        <v/>
      </c>
      <c r="C64" s="15">
        <f>IF(ROUND(('Saisie TCR'!L53-'Saisie TCR'!K53),3)=0,"",ROUND(('Saisie TCR'!L53-'Saisie TCR'!K53),3)/1000)</f>
        <v/>
      </c>
      <c r="D64" s="15">
        <f>IF(ROUND(('Saisie TCR'!J53-'Saisie TCR'!I53),3)=0,"",ROUND(('Saisie TCR'!J53-'Saisie TCR'!I53),3)/1000)</f>
        <v/>
      </c>
    </row>
    <row r="65">
      <c r="A65" t="inlineStr">
        <is>
          <t xml:space="preserve">  dont Impôts différés</t>
        </is>
      </c>
      <c r="B65" s="15">
        <f>IF(ROUND(('Saisie TCR'!N54-'Saisie TCR'!M54),3)=0,"",ROUND(('Saisie TCR'!N54-'Saisie TCR'!M54),3)/1000)</f>
        <v/>
      </c>
      <c r="C65" s="15">
        <f>IF(ROUND(('Saisie TCR'!L54-'Saisie TCR'!K54),3)=0,"",ROUND(('Saisie TCR'!L54-'Saisie TCR'!K54),3)/1000)</f>
        <v/>
      </c>
      <c r="D65" s="15">
        <f>IF(ROUND(('Saisie TCR'!J54-'Saisie TCR'!I54),3)=0,"",ROUND(('Saisie TCR'!J54-'Saisie TCR'!I54),3)/1000)</f>
        <v/>
      </c>
    </row>
    <row r="66">
      <c r="A66" t="inlineStr">
        <is>
          <t>Quote part des résult. soc. mises en équiv.</t>
        </is>
      </c>
      <c r="B66" s="15" t="n"/>
      <c r="C66" s="15" t="n"/>
      <c r="D66" s="15" t="n"/>
    </row>
    <row r="67">
      <c r="A67" t="inlineStr">
        <is>
          <t>Résultat des activités cédées ou à céder</t>
        </is>
      </c>
      <c r="B67" s="15" t="n"/>
      <c r="C67" s="15" t="n"/>
      <c r="D67" s="15" t="n"/>
    </row>
    <row r="68">
      <c r="A68" s="2" t="inlineStr">
        <is>
          <t>Résultat net</t>
        </is>
      </c>
      <c r="B68" s="2">
        <f>IF(COUNT(B62,B63,B66,B67)=0,"",SUM(B62,B63,B66,B67))</f>
        <v/>
      </c>
      <c r="C68" s="2">
        <f>IF(COUNT(C62,C63,C66,C67)=0,"",SUM(C62,C63,C66,C67))</f>
        <v/>
      </c>
      <c r="D68" s="2">
        <f>IF(COUNT(D62,D63,D66,D67)=0,"",SUM(D62,D63,D66,D67))</f>
        <v/>
      </c>
    </row>
    <row r="69">
      <c r="A69" t="inlineStr">
        <is>
          <t xml:space="preserve">  dont Intérêts minoritaires</t>
        </is>
      </c>
      <c r="B69" s="15" t="n"/>
      <c r="C69" s="15" t="n"/>
      <c r="D69" s="15" t="n"/>
    </row>
    <row r="70">
      <c r="A70" s="2" t="inlineStr">
        <is>
          <t xml:space="preserve">  dont Résultat net (perte) &gt; part du groupe</t>
        </is>
      </c>
      <c r="B70" s="2">
        <f>IF(COUNT(B68,B69)=0,"",B68-SUM(B69))</f>
        <v/>
      </c>
      <c r="C70" s="2">
        <f>IF(COUNT(C68,C69)=0,"",C68-SUM(C69))</f>
        <v/>
      </c>
      <c r="D70" s="2">
        <f>IF(COUNT(D68,D69)=0,"",D68-SUM(D69))</f>
        <v/>
      </c>
    </row>
    <row r="71">
      <c r="A71" t="inlineStr">
        <is>
          <t>Dividendes votés</t>
        </is>
      </c>
      <c r="B71" s="15" t="n"/>
      <c r="C71" s="15" t="n"/>
      <c r="D71" s="15" t="n"/>
    </row>
    <row r="72">
      <c r="A72" s="2" t="inlineStr">
        <is>
          <t>Bénéfice non distribué</t>
        </is>
      </c>
      <c r="B72" s="2">
        <f>IF(COUNT(B68,B71)=0,"",B68-SUM(B71))</f>
        <v/>
      </c>
      <c r="C72" s="2">
        <f>IF(COUNT(C68,C71)=0,"",C68-SUM(C71))</f>
        <v/>
      </c>
      <c r="D72" s="2">
        <f>IF(COUNT(D68,D71)=0,"",D68-SUM(D71))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topLeftCell="A20" workbookViewId="0">
      <selection activeCell="B39" sqref="B39"/>
    </sheetView>
  </sheetViews>
  <sheetFormatPr baseColWidth="10" defaultColWidth="8.83203125" defaultRowHeight="15"/>
  <cols>
    <col width="45" customWidth="1" style="8" min="1" max="1"/>
    <col width="17.1640625" customWidth="1" style="8" min="2" max="2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/>
    <row r="16">
      <c r="A16" t="inlineStr">
        <is>
          <t>Point de départ = EBITDA</t>
        </is>
      </c>
    </row>
    <row r="17">
      <c r="A17" t="inlineStr">
        <is>
          <t>EBITDA (Calcul Add-Back)</t>
        </is>
      </c>
      <c r="B17" s="15">
        <f>IF(ISNUMBER('Compte de résultat'!B32),'Compte de résultat'!B32,"")</f>
        <v/>
      </c>
      <c r="C17" s="15">
        <f>IF(ISNUMBER('Compte de résultat'!C32),'Compte de résultat'!C32,"")</f>
        <v/>
      </c>
      <c r="D17" s="15">
        <f>IF(ISNUMBER('Compte de résultat'!D32),'Compte de résultat'!D32,"")</f>
        <v/>
      </c>
    </row>
    <row r="18">
      <c r="A18" t="inlineStr">
        <is>
          <t>Charge d'intérêts versée</t>
        </is>
      </c>
      <c r="B18" s="14">
        <f>IF(ROUND(('Saisie TCR'!N47-'Saisie TCR'!M47),3)=0,"",ROUND(('Saisie TCR'!N47-'Saisie TCR'!M47),3)/1000)</f>
        <v/>
      </c>
      <c r="C18" s="14">
        <f>IF(ROUND(('Saisie TCR'!L47-'Saisie TCR'!K47),3)=0,"",ROUND(('Saisie TCR'!L47-'Saisie TCR'!K47),3)/1000)</f>
        <v/>
      </c>
      <c r="D18" s="14">
        <f>IF(ROUND(('Saisie TCR'!J47-'Saisie TCR'!I47),3)=0,"",ROUND(('Saisie TCR'!J47-'Saisie TCR'!I47),3)/1000)</f>
        <v/>
      </c>
    </row>
    <row r="19">
      <c r="A19" t="inlineStr">
        <is>
          <t>Impôts payés</t>
        </is>
      </c>
      <c r="B19" s="14">
        <f>IF(ISNUMBER('Compte de résultat'!B64),'Compte de résultat'!B64,"")</f>
        <v/>
      </c>
      <c r="C19" s="14">
        <f>IF(ISNUMBER('Compte de résultat'!C64),'Compte de résultat'!C64,"")</f>
        <v/>
      </c>
      <c r="D19" s="14">
        <f>IF(ISNUMBER('Compte de résultat'!D64),'Compte de résultat'!D64,"")</f>
        <v/>
      </c>
    </row>
    <row r="20">
      <c r="A20" s="2" t="inlineStr">
        <is>
          <t>Ajustements non cash</t>
        </is>
      </c>
      <c r="B20" s="2">
        <f>IF(COUNT(B22,B24,B26,B28,B30)=0,"",SUM(B22,B24,B26,B28,B30))</f>
        <v/>
      </c>
      <c r="C20" s="2">
        <f>IF(COUNT(C22,C24,C26,C28,C30)=0,"",SUM(C22,C24,C26,C28,C30))</f>
        <v/>
      </c>
      <c r="D20" s="2">
        <f>IF(COUNT(D22,D24,D26,D28,D30)=0,"",SUM(D22,D24,D26,D28,D30))</f>
        <v/>
      </c>
    </row>
    <row r="21">
      <c r="A21" s="9" t="inlineStr">
        <is>
          <t>libellé dont</t>
        </is>
      </c>
      <c r="B21" s="10" t="n"/>
      <c r="C21" s="10" t="n"/>
      <c r="D21" s="10" t="n"/>
    </row>
    <row r="22">
      <c r="A22" s="9" t="inlineStr">
        <is>
          <t>donr</t>
        </is>
      </c>
      <c r="B22" s="10" t="n"/>
      <c r="C22" s="10" t="n"/>
      <c r="D22" s="10" t="n"/>
    </row>
    <row r="23">
      <c r="A23" s="9" t="inlineStr">
        <is>
          <t>libellé dont</t>
        </is>
      </c>
      <c r="B23" s="10" t="n"/>
      <c r="C23" s="10" t="n"/>
      <c r="D23" s="10" t="n"/>
    </row>
    <row r="24">
      <c r="A24" s="9" t="inlineStr">
        <is>
          <t>donr</t>
        </is>
      </c>
      <c r="B24" s="10" t="n"/>
      <c r="C24" s="10" t="n"/>
      <c r="D24" s="10" t="n"/>
    </row>
    <row r="25">
      <c r="A25" s="9" t="inlineStr">
        <is>
          <t>libellé dont</t>
        </is>
      </c>
      <c r="B25" s="10" t="n"/>
      <c r="C25" s="10" t="n"/>
      <c r="D25" s="10" t="n"/>
    </row>
    <row r="26">
      <c r="A26" s="9" t="inlineStr">
        <is>
          <t>donr</t>
        </is>
      </c>
      <c r="B26" s="10" t="n"/>
      <c r="C26" s="10" t="n"/>
      <c r="D26" s="10" t="n"/>
    </row>
    <row r="27">
      <c r="A27" s="9" t="inlineStr">
        <is>
          <t>libellé dont</t>
        </is>
      </c>
      <c r="B27" s="10" t="n"/>
      <c r="C27" s="10" t="n"/>
      <c r="D27" s="10" t="n"/>
    </row>
    <row r="28">
      <c r="A28" s="9" t="inlineStr">
        <is>
          <t>donr</t>
        </is>
      </c>
      <c r="B28" s="10" t="n"/>
      <c r="C28" s="10" t="n"/>
      <c r="D28" s="10" t="n"/>
    </row>
    <row r="29">
      <c r="A29" s="9" t="inlineStr">
        <is>
          <t>libellé dont</t>
        </is>
      </c>
      <c r="B29" s="10" t="n"/>
      <c r="C29" s="10" t="n"/>
      <c r="D29" s="10" t="n"/>
    </row>
    <row r="30">
      <c r="A30" s="9" t="inlineStr">
        <is>
          <t>donr</t>
        </is>
      </c>
      <c r="B30" s="10" t="n"/>
      <c r="C30" s="10" t="n"/>
      <c r="D30" s="10" t="n"/>
    </row>
    <row r="31">
      <c r="A31" s="2" t="inlineStr">
        <is>
          <t>Marge brute d'autofinancement</t>
        </is>
      </c>
      <c r="B31" s="2">
        <f>IF(COUNT(B17,B18,B19,B20)=0,"",SUM(B17,B18,B19,B20))</f>
        <v/>
      </c>
      <c r="C31" s="2">
        <f>IF(COUNT(C17,C18,C19,C20)=0,"",SUM(C17,C18,C19,C20))</f>
        <v/>
      </c>
      <c r="D31" s="2">
        <f>IF(COUNT(D17,D18,D19,D20)=0,"",SUM(D17,D18,D19,D20))</f>
        <v/>
      </c>
    </row>
    <row r="32">
      <c r="A32" s="2" t="inlineStr">
        <is>
          <t>Variation du BFR</t>
        </is>
      </c>
      <c r="B32" s="2">
        <f>IF(COUNT(B33,B34,B35,B36,B37,B38)=0,"",SUM(B33,B34,B35,B36,B37,B38))</f>
        <v/>
      </c>
      <c r="C32" s="2">
        <f>IF(COUNT(C33,C34,C35,C36,C37,C38)=0,"",SUM(C33,C34,C35,C36,C37,C38))</f>
        <v/>
      </c>
      <c r="D32" s="2">
        <f>IF(COUNT(D33,D34,D35,D36,D37,D38)=0,"",SUM(D33,D34,D35,D36,D37,D38))</f>
        <v/>
      </c>
    </row>
    <row r="33">
      <c r="A33" t="inlineStr">
        <is>
          <t xml:space="preserve">  dont Variation de stocks</t>
        </is>
      </c>
      <c r="B33" s="14">
        <f>IF(ROUND(-('Saisie actif'!P26 - 'Saisie actif'!M26),3)=0,"",ROUND(-('Saisie actif'!P26 - 'Saisie actif'!M26),3)/1000)</f>
        <v/>
      </c>
      <c r="C33" s="14">
        <f>IF(ROUND(-('Saisie actif'!M26 - 'Saisie actif'!J26),3)=0,"",ROUND(-('Saisie actif'!M26 - 'Saisie actif'!J26),3)/1000)</f>
        <v/>
      </c>
      <c r="D33" s="14">
        <f>IF(ROUND(-('Saisie actif'!J26 - 'Saisie actif'!G26),3)=0,"",ROUND(-('Saisie actif'!J26 - 'Saisie actif'!G26),3)/1000)</f>
        <v/>
      </c>
    </row>
    <row r="34">
      <c r="A34" t="inlineStr">
        <is>
          <t xml:space="preserve">  dont Variation des créances d'exploitation</t>
        </is>
      </c>
      <c r="B34" s="14">
        <f>IF(ROUND(-('Saisie actif'!P28 - 'Saisie actif'!M28),3)=0,"",ROUND(-('Saisie actif'!P28 - 'Saisie actif'!M28),3)/1000)</f>
        <v/>
      </c>
      <c r="C34" s="14">
        <f>IF(ROUND(-('Saisie actif'!M28 - 'Saisie actif'!J28),3)=0,"",ROUND(-('Saisie actif'!M28 - 'Saisie actif'!J28),3)/1000)</f>
        <v/>
      </c>
      <c r="D34" s="14">
        <f>IF(ROUND(-('Saisie actif'!J28 - 'Saisie actif'!G28),3)=0,"",ROUND(-('Saisie actif'!J28 - 'Saisie actif'!G28),3)/1000)</f>
        <v/>
      </c>
    </row>
    <row r="35">
      <c r="A35" t="inlineStr">
        <is>
          <t xml:space="preserve">  dont Var. des dettes formes et assim</t>
        </is>
      </c>
      <c r="B35" s="14">
        <f>IF(ROUND('Saisie passif'!H23 - 'Saisie passif'!G23,3)=0,"",ROUND('Saisie passif'!H23 - 'Saisie passif'!G23,3)/1000)</f>
        <v/>
      </c>
      <c r="C35" s="14">
        <f>IF(ROUND('Saisie passif'!G23 - 'Saisie passif'!F23,3)=0,"",ROUND('Saisie passif'!G23 - 'Saisie passif'!F23,3)/1000)</f>
        <v/>
      </c>
      <c r="D35" s="14">
        <f>IF(ROUND('Saisie passif'!F23 - 'Saisie passif'!E23,3)=0,"",ROUND('Saisie passif'!F23 - 'Saisie passif'!E23,3)/1000)</f>
        <v/>
      </c>
    </row>
    <row r="36">
      <c r="A36" t="inlineStr">
        <is>
          <t xml:space="preserve">  dont Variation des dettes sur services consommés</t>
        </is>
      </c>
      <c r="B36" s="14" t="n"/>
      <c r="C36" s="14" t="n"/>
      <c r="D36" s="14" t="n"/>
    </row>
    <row r="37">
      <c r="A37" t="inlineStr">
        <is>
          <t xml:space="preserve">  dont Autres variations de BFR</t>
        </is>
      </c>
      <c r="B37" s="14">
        <f>IF(ROUND(-(('Saisie actif'!R29 + 'Saisie actif'!R31) - ('Saisie actif'!O29 + 'Saisie actif'!O31)) + ('Saisie passif'!H24 + 'Saisie passif'!H25) - ('Saisie passif'!G24 + 'Saisie passif'!G25),3)=0,"",ROUND(-(('Saisie actif'!R29 + 'Saisie actif'!R31) - ('Saisie actif'!O29 + 'Saisie actif'!O31)) + ('Saisie passif'!H24 + 'Saisie passif'!H25) - ('Saisie passif'!G24 + 'Saisie passif'!G25),3)/1000)</f>
        <v/>
      </c>
      <c r="C37" s="14">
        <f>IF(ROUND(-(('Saisie actif'!O29 + 'Saisie actif'!O31) - ('Saisie actif'!L29 + 'Saisie actif'!L31)) + ('Saisie passif'!G24 + 'Saisie passif'!G25) - ('Saisie passif'!F24 + 'Saisie passif'!F25),3)=0,"",ROUND(-(('Saisie actif'!O29 + 'Saisie actif'!O31) - ('Saisie actif'!L29 + 'Saisie actif'!L31)) + ('Saisie passif'!G24 + 'Saisie passif'!G25) - ('Saisie passif'!F24 + 'Saisie passif'!F25),3)/1000)</f>
        <v/>
      </c>
      <c r="D37" s="14">
        <f>IF(ROUND(-(('Saisie actif'!L29 + 'Saisie actif'!L31) - ('Saisie actif'!I29 + 'Saisie actif'!I31)) + ('Saisie passif'!F24 + 'Saisie passif'!F25) - ('Saisie passif'!E24 + 'Saisie passif'!E25),3)=0,"",ROUND(-(('Saisie actif'!L29 + 'Saisie actif'!L31) - ('Saisie actif'!I29 + 'Saisie actif'!I31)) + ('Saisie passif'!F24 + 'Saisie passif'!F25) - ('Saisie passif'!E24 + 'Saisie passif'!E25),3)/1000)</f>
        <v/>
      </c>
    </row>
    <row r="38">
      <c r="A38" t="inlineStr">
        <is>
          <t xml:space="preserve">  dont autres</t>
        </is>
      </c>
      <c r="B38" s="14">
        <f>IF(ROUND(-('Saisie actif'!R30 - 'Saisie actif'!O30),3)=0,"",ROUND(-('Saisie actif'!R30 - 'Saisie actif'!O30),3)/1000)</f>
        <v/>
      </c>
      <c r="C38" s="14">
        <f>IF(ROUND(-('Saisie actif'!O30 - 'Saisie actif'!L30),3)=0,"",ROUND(-('Saisie actif'!O30 - 'Saisie actif'!L30),3)/1000)</f>
        <v/>
      </c>
      <c r="D38" s="14">
        <f>IF(ROUND(-('Saisie actif'!L30 - 'Saisie actif'!I30),3)=0,"",ROUND(-('Saisie actif'!L30 - 'Saisie actif'!I30),3)/1000)</f>
        <v/>
      </c>
    </row>
    <row r="39">
      <c r="A39" s="2" t="inlineStr">
        <is>
          <t>Cash Flow Opérationnel (CFO) net</t>
        </is>
      </c>
      <c r="B39" s="2">
        <f>IF(COUNT(B31,B32)=0,"",SUM(B31,B32))</f>
        <v/>
      </c>
      <c r="C39" s="2">
        <f>IF(COUNT(C31,C32)=0,"",SUM(C31,C32))</f>
        <v/>
      </c>
      <c r="D39" s="2">
        <f>IF(COUNT(D31,D32)=0,"",SUM(D31,D32))</f>
        <v/>
      </c>
    </row>
    <row r="40">
      <c r="A40" s="2" t="inlineStr">
        <is>
          <t>Dépenses d'investissement (CAPEX)</t>
        </is>
      </c>
      <c r="B40" s="2">
        <f>IF(COUNT(B41,B42)=0,"",SUM(B41,B42))</f>
        <v/>
      </c>
      <c r="C40" s="2">
        <f>IF(COUNT(C41,C42)=0,"",SUM(C41,C42))</f>
        <v/>
      </c>
      <c r="D40" s="2">
        <f>IF(COUNT(D41,D42)=0,"",SUM(D41,D42))</f>
        <v/>
      </c>
    </row>
    <row r="41">
      <c r="A41" t="inlineStr">
        <is>
          <t xml:space="preserve">  dont investissement de remplacement</t>
        </is>
      </c>
      <c r="B41" s="14">
        <f>IF(ROUND(-(('Saisie actif'!P11 + 'Saisie actif'!P13 + 'Saisie actif'!P14 + 'Saisie actif'!P15 + 'Saisie actif'!P16 + 'Saisie actif'!P17) - ('Saisie actif'!M11 + 'Saisie actif'!M13 + 'Saisie actif'!M14 + 'Saisie actif'!M15 + 'Saisie actif'!M16 + 'Saisie actif'!M17)),3)=0,"",ROUND(-(('Saisie actif'!P11 + 'Saisie actif'!P13 + 'Saisie actif'!P14 + 'Saisie actif'!P15 + 'Saisie actif'!P16 + 'Saisie actif'!P17) - ('Saisie actif'!M11 + 'Saisie actif'!M13 + 'Saisie actif'!M14 + 'Saisie actif'!M15 + 'Saisie actif'!M16 + 'Saisie actif'!M17)),3)/1000)</f>
        <v/>
      </c>
      <c r="C41" s="14">
        <f>IF(ROUND(-(('Saisie actif'!M11 + 'Saisie actif'!M13 + 'Saisie actif'!M14 + 'Saisie actif'!M15 + 'Saisie actif'!M16 + 'Saisie actif'!M17) - ('Saisie actif'!J11 + 'Saisie actif'!J13 + 'Saisie actif'!J14 + 'Saisie actif'!J15 + 'Saisie actif'!J16 + 'Saisie actif'!J17)),3)=0,"",ROUND(-(('Saisie actif'!M11 + 'Saisie actif'!M13 + 'Saisie actif'!M14 + 'Saisie actif'!M15 + 'Saisie actif'!M16 + 'Saisie actif'!M17) - ('Saisie actif'!J11 + 'Saisie actif'!J13 + 'Saisie actif'!J14 + 'Saisie actif'!J15 + 'Saisie actif'!J16 + 'Saisie actif'!J17)),3)/1000)</f>
        <v/>
      </c>
      <c r="D41" s="14">
        <f>IF(ROUND(-(('Saisie actif'!J11 + 'Saisie actif'!J13 + 'Saisie actif'!J14 + 'Saisie actif'!J15 + 'Saisie actif'!J16 + 'Saisie actif'!J17) - ('Saisie actif'!G11 + 'Saisie actif'!G13 + 'Saisie actif'!G14 + 'Saisie actif'!G15 + 'Saisie actif'!G16 + 'Saisie actif'!G17)),3)=0,"",ROUND(-(('Saisie actif'!J11 + 'Saisie actif'!J13 + 'Saisie actif'!J14 + 'Saisie actif'!J15 + 'Saisie actif'!J16 + 'Saisie actif'!J17) - ('Saisie actif'!G11 + 'Saisie actif'!G13 + 'Saisie actif'!G14 + 'Saisie actif'!G15 + 'Saisie actif'!G16 + 'Saisie actif'!G17)),3)/1000)</f>
        <v/>
      </c>
    </row>
    <row r="42">
      <c r="A42" t="inlineStr">
        <is>
          <t xml:space="preserve">  dont investissement productif</t>
        </is>
      </c>
      <c r="B42" s="14" t="n"/>
      <c r="C42" s="14" t="n"/>
      <c r="D42" s="14" t="n"/>
    </row>
    <row r="43">
      <c r="A43" t="inlineStr">
        <is>
          <t>Revenus d'investissement</t>
        </is>
      </c>
      <c r="B43" s="14">
        <f>IF(ROUND(('Saisie TCR'!N46-'Saisie TCR'!M46),3)=0,"",ROUND(('Saisie TCR'!N46-'Saisie TCR'!M46),3)/1000)</f>
        <v/>
      </c>
      <c r="C43" s="14">
        <f>IF(ROUND(('Saisie TCR'!L46-'Saisie TCR'!K46),3)=0,"",ROUND(('Saisie TCR'!L46-'Saisie TCR'!K46),3)/1000)</f>
        <v/>
      </c>
      <c r="D43" s="14">
        <f>IF(ROUND(('Saisie TCR'!J46-'Saisie TCR'!I46),3)=0,"",ROUND(('Saisie TCR'!J46-'Saisie TCR'!I46),3)/1000)</f>
        <v/>
      </c>
    </row>
    <row r="44">
      <c r="A44" t="inlineStr">
        <is>
          <t>Autres revenus / charges (seuls éléments cash)</t>
        </is>
      </c>
      <c r="B44" s="14" t="n"/>
      <c r="C44" s="14" t="n"/>
      <c r="D44" s="14" t="n"/>
    </row>
    <row r="45">
      <c r="A45" s="2" t="inlineStr">
        <is>
          <t>Remboursements obligatoires de dette</t>
        </is>
      </c>
      <c r="B45" s="2">
        <f>IF(COUNT(B46,B47)=0,"",SUM(B46,B47))</f>
        <v/>
      </c>
      <c r="C45" s="2">
        <f>IF(COUNT(C46,C47)=0,"",SUM(C46,C47))</f>
        <v/>
      </c>
      <c r="D45" s="2">
        <f>IF(COUNT(D46,D47)=0,"",SUM(D46,D47))</f>
        <v/>
      </c>
    </row>
    <row r="46">
      <c r="A46" t="inlineStr">
        <is>
          <t xml:space="preserve">  dont Remb. oblig. sur contrats loc.-financement</t>
        </is>
      </c>
      <c r="B46" s="14" t="n"/>
      <c r="C46" s="14" t="n"/>
      <c r="D46" s="14" t="n"/>
    </row>
    <row r="47">
      <c r="A47" t="inlineStr">
        <is>
          <t xml:space="preserve">  dont autres remboursements obligatoires</t>
        </is>
      </c>
      <c r="B47" s="14" t="n"/>
      <c r="C47" s="14" t="n"/>
      <c r="D47" s="14" t="n"/>
    </row>
    <row r="48">
      <c r="A48" s="2" t="inlineStr">
        <is>
          <t>Flux de trésorerie disp. après serv. dette</t>
        </is>
      </c>
      <c r="B48" s="2">
        <f>IF(COUNT(B39,B40,B43,B44,B45)=0,"",SUM(B39,B40,B43,B44,B45))</f>
        <v/>
      </c>
      <c r="C48" s="2">
        <f>IF(COUNT(C39,C40,C43,C44,C45)=0,"",SUM(C39,C40,C43,C44,C45))</f>
        <v/>
      </c>
      <c r="D48" s="2">
        <f>IF(COUNT(D39,D40,D43,D44,D45)=0,"",SUM(D39,D40,D43,D44,D45))</f>
        <v/>
      </c>
    </row>
    <row r="49">
      <c r="A49" t="inlineStr">
        <is>
          <t>Acquisitions</t>
        </is>
      </c>
      <c r="B49" s="14" t="n"/>
      <c r="C49" s="14" t="n"/>
      <c r="D49" s="14" t="n"/>
    </row>
    <row r="50">
      <c r="A50" s="2" t="inlineStr">
        <is>
          <t>Cessions</t>
        </is>
      </c>
      <c r="B50" s="2">
        <f>IF(COUNT(B51,B52,B53,B54)=0,"",SUM(B51,B52,B53,B54))</f>
        <v/>
      </c>
      <c r="C50" s="2">
        <f>IF(COUNT(C51,C52,C53,C54)=0,"",SUM(C51,C52,C53,C54))</f>
        <v/>
      </c>
      <c r="D50" s="2">
        <f>IF(COUNT(D51,D52,D53,D54)=0,"",SUM(D51,D52,D53,D54))</f>
        <v/>
      </c>
    </row>
    <row r="51">
      <c r="A51" t="inlineStr">
        <is>
          <t xml:space="preserve">  dont vente d'actifs corporels</t>
        </is>
      </c>
      <c r="B51" s="14" t="n"/>
      <c r="C51" s="14" t="n"/>
      <c r="D51" s="14" t="n"/>
    </row>
    <row r="52">
      <c r="A52" t="inlineStr">
        <is>
          <t xml:space="preserve">  dont vente d'actifs incorporels</t>
        </is>
      </c>
      <c r="B52" s="14" t="n"/>
      <c r="C52" s="14" t="n"/>
      <c r="D52" s="14" t="n"/>
    </row>
    <row r="53">
      <c r="A53" t="inlineStr">
        <is>
          <t xml:space="preserve">  dont Ventes D'Activités et D'Immobilisations Financières</t>
        </is>
      </c>
      <c r="B53" s="14" t="n"/>
      <c r="C53" s="14" t="n"/>
      <c r="D53" s="14" t="n"/>
    </row>
    <row r="54">
      <c r="A54" t="inlineStr">
        <is>
          <t xml:space="preserve">  dont autres (si ventilation indisponible)</t>
        </is>
      </c>
      <c r="B54" s="14" t="n"/>
      <c r="C54" s="14" t="n"/>
      <c r="D54" s="14" t="n"/>
    </row>
    <row r="55">
      <c r="A55" t="inlineStr">
        <is>
          <t>Dividendes payés</t>
        </is>
      </c>
      <c r="B55" s="14">
        <f>IF(ROUND(-('Saisie passif'!G11 - (('Saisie passif'!H8 + 'Saisie passif'!H12) - ('Saisie passif'!G8 + 'Saisie passif'!G12))),3)=0,"",ROUND(-('Saisie passif'!G11 - (('Saisie passif'!H8 + 'Saisie passif'!H12) - ('Saisie passif'!G8 + 'Saisie passif'!G12))),3)/1000)</f>
        <v/>
      </c>
      <c r="C55" s="14">
        <f>IF(ROUND(-('Saisie passif'!F11 - (('Saisie passif'!G8 + 'Saisie passif'!G12) - ('Saisie passif'!F8 + 'Saisie passif'!F12))),3)=0,"",ROUND(-('Saisie passif'!F11 - (('Saisie passif'!G8 + 'Saisie passif'!G12) - ('Saisie passif'!F8 + 'Saisie passif'!F12))),3)/1000)</f>
        <v/>
      </c>
      <c r="D55" s="14">
        <f>IF(ROUND(-('Saisie passif'!E11 - (('Saisie passif'!F8 + 'Saisie passif'!F12) - ('Saisie passif'!E8 + 'Saisie passif'!E12))),3)=0,"",ROUND(-('Saisie passif'!E11 - (('Saisie passif'!F8 + 'Saisie passif'!F12) - ('Saisie passif'!E8 + 'Saisie passif'!E12))),3)/1000)</f>
        <v/>
      </c>
    </row>
    <row r="56">
      <c r="A56" t="inlineStr">
        <is>
          <t xml:space="preserve">  dont Dividendes exceptionnels</t>
        </is>
      </c>
      <c r="B56" s="14" t="n"/>
      <c r="C56" s="14" t="n"/>
      <c r="D56" s="14" t="n"/>
    </row>
    <row r="57">
      <c r="A57" s="2" t="inlineStr">
        <is>
          <t>Variation en capital</t>
        </is>
      </c>
      <c r="B57" s="2">
        <f>IF(COUNT(B58,B59,B60)=0,"",SUM(B58,B59,B60))</f>
        <v/>
      </c>
      <c r="C57" s="2">
        <f>IF(COUNT(C58,C59,C60)=0,"",SUM(C58,C59,C60))</f>
        <v/>
      </c>
      <c r="D57" s="2">
        <f>IF(COUNT(D58,D59,D60)=0,"",SUM(D58,D59,D60))</f>
        <v/>
      </c>
    </row>
    <row r="58">
      <c r="A58" t="inlineStr">
        <is>
          <t xml:space="preserve">  dont Augmentation de Capital</t>
        </is>
      </c>
      <c r="B58" s="14">
        <f>IF(ROUND(('Saisie passif'!H6 - 'Saisie passif'!H7) - ('Saisie passif'!G6 - 'Saisie passif'!G7),3)=0,"",ROUND(('Saisie passif'!H6 - 'Saisie passif'!H7) - ('Saisie passif'!G6 - 'Saisie passif'!G7),3)/1000)</f>
        <v/>
      </c>
      <c r="C58" s="14">
        <f>IF(ROUND(('Saisie passif'!G6 - 'Saisie passif'!G7) - ('Saisie passif'!F6 - 'Saisie passif'!F7),3)=0,"",ROUND(('Saisie passif'!G6 - 'Saisie passif'!G7) - ('Saisie passif'!F6 - 'Saisie passif'!F7),3)/1000)</f>
        <v/>
      </c>
      <c r="D58" s="14">
        <f>IF(ROUND(('Saisie passif'!F6 - 'Saisie passif'!F7) - ('Saisie passif'!E6 - 'Saisie passif'!E7),3)=0,"",ROUND(('Saisie passif'!F6 - 'Saisie passif'!F7) - ('Saisie passif'!E6 - 'Saisie passif'!E7),3)/1000)</f>
        <v/>
      </c>
    </row>
    <row r="59">
      <c r="A59" t="inlineStr">
        <is>
          <t xml:space="preserve">  dont Rachat d'actions</t>
        </is>
      </c>
      <c r="B59" s="14" t="n"/>
      <c r="C59" s="14" t="n"/>
      <c r="D59" s="14" t="n"/>
    </row>
    <row r="60">
      <c r="A60" t="inlineStr">
        <is>
          <t xml:space="preserve">  dont cessions / acquisitions d'actions d'autocontrôle</t>
        </is>
      </c>
      <c r="B60" s="14" t="n"/>
      <c r="C60" s="14" t="n"/>
      <c r="D60" s="14" t="n"/>
    </row>
    <row r="61">
      <c r="A61" s="2" t="inlineStr">
        <is>
          <t>Flux liés aux minoritaires</t>
        </is>
      </c>
      <c r="B61" s="2">
        <f>IF(COUNT(B62,B63)=0,"",SUM(B62,B63))</f>
        <v/>
      </c>
      <c r="C61" s="2">
        <f>IF(COUNT(C62,C63)=0,"",SUM(C62,C63))</f>
        <v/>
      </c>
      <c r="D61" s="2">
        <f>IF(COUNT(D62,D63)=0,"",SUM(D62,D63))</f>
        <v/>
      </c>
    </row>
    <row r="62">
      <c r="A62" t="inlineStr">
        <is>
          <t xml:space="preserve">  dont dividendes</t>
        </is>
      </c>
      <c r="B62" s="14" t="n"/>
      <c r="C62" s="14" t="n"/>
      <c r="D62" s="14" t="n"/>
    </row>
    <row r="63">
      <c r="A63" t="inlineStr">
        <is>
          <t xml:space="preserve">  dont Autres</t>
        </is>
      </c>
      <c r="B63" s="14" t="n"/>
      <c r="C63" s="14" t="n"/>
      <c r="D63" s="14" t="n"/>
    </row>
    <row r="64">
      <c r="A64" s="2" t="inlineStr">
        <is>
          <t>Nouv. dettes&amp;Remb. non oblig. dettes non cour.</t>
        </is>
      </c>
      <c r="B64" s="2">
        <f>IF(COUNT(B65,B66)=0,"",SUM(B65,B66))</f>
        <v/>
      </c>
      <c r="C64" s="2">
        <f>IF(COUNT(C65,C66)=0,"",SUM(C65,C66))</f>
        <v/>
      </c>
      <c r="D64" s="2">
        <f>IF(COUNT(D65,D66)=0,"",SUM(D65,D66))</f>
        <v/>
      </c>
    </row>
    <row r="65">
      <c r="A65" t="inlineStr">
        <is>
          <t xml:space="preserve">  dont liées aux contrats de location financement</t>
        </is>
      </c>
      <c r="B65" s="14" t="n"/>
      <c r="C65" s="14" t="n"/>
      <c r="D65" s="14" t="n"/>
    </row>
    <row r="66">
      <c r="A66" t="inlineStr">
        <is>
          <t xml:space="preserve">  dont autres nouvelles dettes et autres remboursements</t>
        </is>
      </c>
      <c r="B66" s="14">
        <f>IF(ROUND(('Saisie passif'!H17 + 'Saisie passif'!H19) - ('Saisie passif'!G17 + 'Saisie passif'!G19),3)=0,"",ROUND(('Saisie passif'!H17 + 'Saisie passif'!H19) - ('Saisie passif'!G17 + 'Saisie passif'!G19),3)/1000)</f>
        <v/>
      </c>
      <c r="C66" s="14">
        <f>IF(ROUND(('Saisie passif'!G17 + 'Saisie passif'!G19) - ('Saisie passif'!F17 + 'Saisie passif'!F19),3)=0,"",ROUND(('Saisie passif'!G17 + 'Saisie passif'!G19) - ('Saisie passif'!F17 + 'Saisie passif'!F19),3)/1000)</f>
        <v/>
      </c>
      <c r="D66" s="14">
        <f>IF(ROUND(('Saisie passif'!F17 + 'Saisie passif'!F19) - ('Saisie passif'!E17 + 'Saisie passif'!E19),3)=0,"",ROUND(('Saisie passif'!F17 + 'Saisie passif'!F19) - ('Saisie passif'!E17 + 'Saisie passif'!E19),3)/1000)</f>
        <v/>
      </c>
    </row>
    <row r="67">
      <c r="A67" t="inlineStr">
        <is>
          <t>Eléments exceptionnels</t>
        </is>
      </c>
      <c r="B67" s="14">
        <f>IF(ROUND(('Saisie TCR'!N50-'Saisie TCR'!M50) + ('Saisie TCR'!N51-'Saisie TCR'!M51),3)=0,"",ROUND(('Saisie TCR'!N50-'Saisie TCR'!M50) + ('Saisie TCR'!N51-'Saisie TCR'!M51),3)/1000)</f>
        <v/>
      </c>
      <c r="C67" s="14">
        <f>IF(ROUND(('Saisie TCR'!L50-'Saisie TCR'!K50) + ('Saisie TCR'!L51-'Saisie TCR'!K51),3)=0,"",ROUND(('Saisie TCR'!L50-'Saisie TCR'!K50) + ('Saisie TCR'!L51-'Saisie TCR'!K51),3)/1000)</f>
        <v/>
      </c>
      <c r="D67" s="14">
        <f>IF(ROUND(('Saisie TCR'!J50-'Saisie TCR'!I50) + ('Saisie TCR'!J51-'Saisie TCR'!I51),3)=0,"",ROUND(('Saisie TCR'!J50-'Saisie TCR'!I50) + ('Saisie TCR'!J51-'Saisie TCR'!I51),3)/1000)</f>
        <v/>
      </c>
    </row>
    <row r="68">
      <c r="A68" t="inlineStr">
        <is>
          <t>Flux liés Actifs Détenus en Vue de la Vente</t>
        </is>
      </c>
      <c r="B68" s="14" t="n"/>
      <c r="C68" s="14" t="n"/>
      <c r="D68" s="14" t="n"/>
    </row>
    <row r="69">
      <c r="A69" t="inlineStr">
        <is>
          <t>Immobilisations financières nettes</t>
        </is>
      </c>
      <c r="B69" s="14">
        <f>IF(ROUND(-(('Saisie actif'!R18 - 'Saisie actif'!R23) - ('Saisie actif'!O18 - 'Saisie actif'!O23)),3)=0,"",ROUND(-(('Saisie actif'!R18 - 'Saisie actif'!R23) - ('Saisie actif'!O18 - 'Saisie actif'!O23)),3)/1000)</f>
        <v/>
      </c>
      <c r="C69" s="14">
        <f>IF(ROUND(-(('Saisie actif'!O18 - 'Saisie actif'!O23) - ('Saisie actif'!L18 - 'Saisie actif'!L23)),3)=0,"",ROUND(-(('Saisie actif'!O18 - 'Saisie actif'!O23) - ('Saisie actif'!L18 - 'Saisie actif'!L23)),3)/1000)</f>
        <v/>
      </c>
      <c r="D69" s="14">
        <f>IF(ROUND(-(('Saisie actif'!L18 - 'Saisie actif'!L23) - ('Saisie actif'!I18 - 'Saisie actif'!I23)),3)=0,"",ROUND(-(('Saisie actif'!L18 - 'Saisie actif'!L23) - ('Saisie actif'!I18 - 'Saisie actif'!I23)),3)/1000)</f>
        <v/>
      </c>
    </row>
    <row r="70">
      <c r="A70" t="inlineStr">
        <is>
          <t>Impact des effets de change</t>
        </is>
      </c>
      <c r="B70" s="14" t="n"/>
      <c r="C70" s="14" t="n"/>
      <c r="D70" s="14" t="n"/>
    </row>
    <row r="71">
      <c r="A71" t="inlineStr">
        <is>
          <t>Impact des effets de changement de périmètre</t>
        </is>
      </c>
      <c r="B71" s="14" t="n"/>
      <c r="C71" s="14" t="n"/>
      <c r="D71" s="14" t="n"/>
    </row>
    <row r="72">
      <c r="A72" t="inlineStr">
        <is>
          <t>Autres</t>
        </is>
      </c>
      <c r="B72" s="14" t="n"/>
      <c r="C72" s="14" t="n"/>
      <c r="D72" s="14" t="n"/>
    </row>
    <row r="73">
      <c r="A73" s="2" t="inlineStr">
        <is>
          <t>Sum of Non Recur. Flows Bef. ST Debt's Change</t>
        </is>
      </c>
      <c r="B73" s="2">
        <f>IF(COUNT(B49,B50,B55,B57,B61,B64,B67,B68,B69,B70,B71,B72)=0,"",SUM(B49,B50,B55,B57,B61,B64,B67,B68,B69,B70,B71,B72))</f>
        <v/>
      </c>
      <c r="C73" s="2">
        <f>IF(COUNT(C49,C50,C55,C57,C61,C64,C67,C68,C69,C70,C71,C72)=0,"",SUM(C49,C50,C55,C57,C61,C64,C67,C68,C69,C70,C71,C72))</f>
        <v/>
      </c>
      <c r="D73" s="2">
        <f>IF(COUNT(D49,D50,D55,D57,D61,D64,D67,D68,D69,D70,D71,D72)=0,"",SUM(D49,D50,D55,D57,D61,D64,D67,D68,D69,D70,D71,D72))</f>
        <v/>
      </c>
    </row>
    <row r="74">
      <c r="A74" t="inlineStr">
        <is>
          <t>Variation de la dette courante</t>
        </is>
      </c>
      <c r="B74" s="14">
        <f>IF(ROUND('Saisie passif'!H26 - 'Saisie passif'!G26,3)=0,"",ROUND('Saisie passif'!H26 - 'Saisie passif'!G26,3)/1000)</f>
        <v/>
      </c>
      <c r="C74" s="14">
        <f>IF(ROUND('Saisie passif'!G26 - 'Saisie passif'!F26,3)=0,"",ROUND('Saisie passif'!G26 - 'Saisie passif'!F26,3)/1000)</f>
        <v/>
      </c>
      <c r="D74" s="14">
        <f>IF(ROUND('Saisie passif'!F26 - 'Saisie passif'!E26,3)=0,"",ROUND('Saisie passif'!F26 - 'Saisie passif'!E26,3)/1000)</f>
        <v/>
      </c>
    </row>
    <row r="75">
      <c r="A75" s="2" t="inlineStr">
        <is>
          <t>Variation de trésorerie</t>
        </is>
      </c>
      <c r="B75" s="2">
        <f>IF(COUNT(B48,B73,B74)=0,"",SUM(B48,B73,B74))</f>
        <v/>
      </c>
      <c r="C75" s="2">
        <f>IF(COUNT(C48,C73,C74)=0,"",SUM(C48,C73,C74))</f>
        <v/>
      </c>
      <c r="D75" s="2">
        <f>IF(COUNT(D48,D73,D74)=0,"",SUM(D48,D73,D74))</f>
        <v/>
      </c>
    </row>
    <row r="76">
      <c r="A76" s="2" t="inlineStr">
        <is>
          <t>Flux de trésorerie disp. av. service dette</t>
        </is>
      </c>
      <c r="B76" s="2">
        <f>IF(COUNT(B48,B18)=0,"",B48-SUM(B18))</f>
        <v/>
      </c>
      <c r="C76" s="2">
        <f>IF(COUNT(C48,C18)=0,"",C48-SUM(C18))</f>
        <v/>
      </c>
      <c r="D76" s="2">
        <f>IF(COUNT(D48,D18)=0,"",D48-SUM(D18))</f>
        <v/>
      </c>
    </row>
    <row r="77">
      <c r="A77" t="inlineStr">
        <is>
          <t>Concours Bancaires</t>
        </is>
      </c>
      <c r="B77" s="14" t="n"/>
      <c r="C77" s="14" t="n"/>
      <c r="D77" s="14" t="n"/>
    </row>
    <row r="78">
      <c r="A78" s="2" t="inlineStr">
        <is>
          <t>Réconciliation avec la variation de cash au bilan</t>
        </is>
      </c>
      <c r="B78" s="2">
        <f>IF(COUNT(B75,'Bilan - Actifs'!B81,'Bilan - Actifs'!C81)&lt;3,"NA",IF(ABS(B75-('Bilan - Actifs'!B81-'Bilan - Actifs'!C81))&lt;=0.011,"OK","Gap"))</f>
        <v/>
      </c>
      <c r="C78" s="2">
        <f>IF(COUNT(C75,'Bilan - Actifs'!C81,'Bilan - Actifs'!D81)&lt;3,"NA",IF(ABS(C75-('Bilan - Actifs'!C81-'Bilan - Actifs'!D81))&lt;=0.011,"OK","Gap"))</f>
        <v/>
      </c>
      <c r="D78" s="2" t="inlineStr">
        <is>
          <t>NA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E24" sqref="E24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Source de données</t>
        </is>
      </c>
      <c r="E3" t="inlineStr">
        <is>
          <t>OWN</t>
        </is>
      </c>
      <c r="F3" t="inlineStr">
        <is>
          <t>OWN</t>
        </is>
      </c>
      <c r="G3" t="inlineStr">
        <is>
          <t>OWN</t>
        </is>
      </c>
    </row>
    <row r="4">
      <c r="A4" t="inlineStr">
        <is>
          <t>Type</t>
        </is>
      </c>
      <c r="E4" t="inlineStr">
        <is>
          <t>Annuel</t>
        </is>
      </c>
      <c r="F4" t="inlineStr">
        <is>
          <t>Annuel</t>
        </is>
      </c>
      <c r="G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E8" t="inlineStr">
        <is>
          <t>12 mois</t>
        </is>
      </c>
      <c r="F8" t="inlineStr">
        <is>
          <t>12 mois</t>
        </is>
      </c>
      <c r="G8" t="inlineStr">
        <is>
          <t>12 mois</t>
        </is>
      </c>
    </row>
    <row r="9">
      <c r="A9" t="inlineStr">
        <is>
          <t>Statut de la consolidation</t>
        </is>
      </c>
      <c r="E9" t="inlineStr">
        <is>
          <t>Social</t>
        </is>
      </c>
      <c r="F9" t="inlineStr">
        <is>
          <t>Social</t>
        </is>
      </c>
      <c r="G9" t="inlineStr">
        <is>
          <t>Social</t>
        </is>
      </c>
    </row>
    <row r="10">
      <c r="A10" t="inlineStr">
        <is>
          <t>Norme comptable</t>
        </is>
      </c>
      <c r="E10" t="inlineStr">
        <is>
          <t>Local Gaap</t>
        </is>
      </c>
      <c r="F10" t="inlineStr">
        <is>
          <t>Local Gaap</t>
        </is>
      </c>
      <c r="G10" t="inlineStr">
        <is>
          <t>Local Gaap</t>
        </is>
      </c>
    </row>
    <row r="11">
      <c r="A11" t="inlineStr">
        <is>
          <t>Unité/ Devise affichée</t>
        </is>
      </c>
      <c r="E11" t="inlineStr">
        <is>
          <t>Million DZD</t>
        </is>
      </c>
      <c r="F11" t="inlineStr">
        <is>
          <t>Million DZD</t>
        </is>
      </c>
      <c r="G11" t="inlineStr">
        <is>
          <t>Million DZD</t>
        </is>
      </c>
    </row>
    <row r="12">
      <c r="A12" t="inlineStr">
        <is>
          <t>Opinion</t>
        </is>
      </c>
      <c r="E12" t="inlineStr">
        <is>
          <t>Comptes non audités</t>
        </is>
      </c>
      <c r="F12" t="inlineStr">
        <is>
          <t>Comptes non audités</t>
        </is>
      </c>
      <c r="G12" t="inlineStr">
        <is>
          <t>Comptes non audités</t>
        </is>
      </c>
    </row>
    <row r="13">
      <c r="A13" t="inlineStr">
        <is>
          <t>Date de Publication</t>
        </is>
      </c>
    </row>
    <row r="14">
      <c r="E14" t="inlineStr">
        <is>
          <t>Valeur</t>
        </is>
      </c>
      <c r="F14" t="inlineStr">
        <is>
          <t>Valeur</t>
        </is>
      </c>
      <c r="G14" t="inlineStr">
        <is>
          <t>Valeur</t>
        </is>
      </c>
    </row>
    <row r="15"/>
    <row r="16">
      <c r="A16" t="inlineStr">
        <is>
          <t>Working Capital Requirement</t>
        </is>
      </c>
      <c r="E16">
        <f>IF(COUNT('Bilan - Actifs'!B55,'Bilan - Actifs'!B68,'Bilan - Actifs'!B75,'Bilan - Passifs'!B67,'Bilan - Passifs'!B68,'Bilan - Passifs'!B75)=0,"",IFERROR(ROUND(SUM('Bilan - Actifs'!B55,'Bilan - Actifs'!B68,'Bilan - Actifs'!B75)-SUM('Bilan - Passifs'!B67,'Bilan - Passifs'!B68,'Bilan - Passifs'!B75),1),""))</f>
        <v/>
      </c>
      <c r="F16">
        <f>IF(COUNT('Bilan - Actifs'!C55,'Bilan - Actifs'!C68,'Bilan - Actifs'!C75,'Bilan - Passifs'!C67,'Bilan - Passifs'!C68,'Bilan - Passifs'!C75)=0,"",IFERROR(ROUND(SUM('Bilan - Actifs'!C55,'Bilan - Actifs'!C68,'Bilan - Actifs'!C75)-SUM('Bilan - Passifs'!C67,'Bilan - Passifs'!C68,'Bilan - Passifs'!C75),1),""))</f>
        <v/>
      </c>
      <c r="G16">
        <f>IF(COUNT('Bilan - Actifs'!D55,'Bilan - Actifs'!D68,'Bilan - Actifs'!D75,'Bilan - Passifs'!D67,'Bilan - Passifs'!D68,'Bilan - Passifs'!D75)=0,"",IFERROR(ROUND(SUM('Bilan - Actifs'!D55,'Bilan - Actifs'!D68,'Bilan - Actifs'!D75)-SUM('Bilan - Passifs'!D67,'Bilan - Passifs'!D68,'Bilan - Passifs'!D75),1),""))</f>
        <v/>
      </c>
    </row>
    <row r="17">
      <c r="A17" t="inlineStr">
        <is>
          <t>Dette totale</t>
        </is>
      </c>
      <c r="E17">
        <f>IF(COUNT('Bilan - Passifs'!B43,'Bilan - Passifs'!B53)=0,"",IFERROR(ROUND(('Bilan - Passifs'!B43+'Bilan - Passifs'!B53),1),""))</f>
        <v/>
      </c>
      <c r="F17">
        <f>IF(COUNT('Bilan - Passifs'!C43,'Bilan - Passifs'!C53)=0,"",IFERROR(ROUND(('Bilan - Passifs'!C43+'Bilan - Passifs'!C53),1),""))</f>
        <v/>
      </c>
      <c r="G17">
        <f>IF(COUNT('Bilan - Passifs'!D43,'Bilan - Passifs'!D53)=0,"",IFERROR(ROUND(('Bilan - Passifs'!D43+'Bilan - Passifs'!D53),1),""))</f>
        <v/>
      </c>
    </row>
    <row r="18">
      <c r="A18" t="inlineStr">
        <is>
          <t>Dette totale ajustée</t>
        </is>
      </c>
      <c r="E18" s="15" t="n"/>
      <c r="F18" s="15" t="n"/>
      <c r="G18" s="15" t="n"/>
    </row>
    <row r="19">
      <c r="A19" t="inlineStr">
        <is>
          <t>Dette nette</t>
        </is>
      </c>
      <c r="E19">
        <f>IF(COUNT('Bilan - Passifs'!B43,'Bilan - Passifs'!B53,'Bilan - Actifs'!B81)=0,"",IFERROR(ROUND(('Bilan - Passifs'!B43+'Bilan - Passifs'!B53)-'Bilan - Actifs'!B81,1),""))</f>
        <v/>
      </c>
      <c r="F19">
        <f>IF(COUNT('Bilan - Passifs'!C43,'Bilan - Passifs'!C53,'Bilan - Actifs'!C81)=0,"",IFERROR(ROUND(('Bilan - Passifs'!C43+'Bilan - Passifs'!C53)-'Bilan - Actifs'!C81,1),""))</f>
        <v/>
      </c>
      <c r="G19">
        <f>IF(COUNT('Bilan - Passifs'!D43,'Bilan - Passifs'!D53,'Bilan - Actifs'!D81)=0,"",IFERROR(ROUND(('Bilan - Passifs'!D43+'Bilan - Passifs'!D53)-'Bilan - Actifs'!D81,1),""))</f>
        <v/>
      </c>
    </row>
    <row r="20">
      <c r="A20" t="inlineStr">
        <is>
          <t>Dette nette ajustée</t>
        </is>
      </c>
      <c r="E20" s="15" t="n"/>
      <c r="F20" s="15" t="n"/>
      <c r="G20" s="15" t="n"/>
    </row>
    <row r="21">
      <c r="A21" t="inlineStr">
        <is>
          <t>Dette "Secured"</t>
        </is>
      </c>
      <c r="E21" s="15" t="n"/>
      <c r="F21" s="15" t="n"/>
      <c r="G21" s="15" t="n"/>
    </row>
    <row r="22">
      <c r="A22" t="inlineStr">
        <is>
          <t>Dette Senior</t>
        </is>
      </c>
      <c r="E22" s="15" t="n"/>
      <c r="F22" s="15" t="n"/>
      <c r="G22" s="15" t="n"/>
    </row>
    <row r="23">
      <c r="A23" t="inlineStr">
        <is>
          <t>Variation de la Dette nette</t>
        </is>
      </c>
      <c r="E23">
        <f>IF(COUNT('Bilan - Passifs'!B43,'Bilan - Passifs'!B53,'Bilan - Actifs'!B81,'Bilan - Passifs'!C43,'Bilan - Passifs'!C53,'Bilan - Actifs'!C81)=0,"",IFERROR(ROUND((('Bilan - Passifs'!B43+'Bilan - Passifs'!B53)-'Bilan - Actifs'!B81)-(('Bilan - Passifs'!C43+'Bilan - Passifs'!C53)-'Bilan - Actifs'!C81),1),""))</f>
        <v/>
      </c>
      <c r="F23">
        <f>IF(COUNT('Bilan - Passifs'!C43,'Bilan - Passifs'!C53,'Bilan - Actifs'!C81,'Bilan - Passifs'!D43,'Bilan - Passifs'!D53,'Bilan - Actifs'!D81)=0,"",IFERROR(ROUND((('Bilan - Passifs'!C43+'Bilan - Passifs'!C53)-'Bilan - Actifs'!C81)-(('Bilan - Passifs'!D43+'Bilan - Passifs'!D53)-'Bilan - Actifs'!D81),1),""))</f>
        <v/>
      </c>
      <c r="G23" s="15" t="n"/>
    </row>
    <row r="24">
      <c r="A24" t="inlineStr">
        <is>
          <t>Situation Nette</t>
        </is>
      </c>
      <c r="E24">
        <f>IF(COUNT('Bilan - Passifs'!B35,'Bilan - Actifs'!B16,'Bilan - Actifs'!B17)=0,"",IFERROR(ROUND('Bilan - Passifs'!B35-SUM('Bilan - Actifs'!B16,'Bilan - Actifs'!B17),1),""))</f>
        <v/>
      </c>
      <c r="F24">
        <f>IF(COUNT('Bilan - Passifs'!C35,'Bilan - Actifs'!C16,'Bilan - Actifs'!C17)=0,"",IFERROR(ROUND('Bilan - Passifs'!C35-SUM('Bilan - Actifs'!C16,'Bilan - Actifs'!C17),1),""))</f>
        <v/>
      </c>
      <c r="G24">
        <f>IF(COUNT('Bilan - Passifs'!D35,'Bilan - Actifs'!D16,'Bilan - Actifs'!D17)=0,"",IFERROR(ROUND('Bilan - Passifs'!D35-SUM('Bilan - Actifs'!D16,'Bilan - Actifs'!D17),1),""))</f>
        <v/>
      </c>
    </row>
    <row r="25">
      <c r="A25" t="inlineStr">
        <is>
          <t>Couverture</t>
        </is>
      </c>
    </row>
    <row r="26">
      <c r="A26" t="inlineStr">
        <is>
          <t>Résultat opérationnel/ Dépense d'intérêt</t>
        </is>
      </c>
      <c r="E26">
        <f>IF(COUNT('Compte de résultat'!B36,'Compte de résultat'!B47)=0,"",IFERROR(ROUND('Compte de résultat'!B36/ABS('Compte de résultat'!B47),1),""))</f>
        <v/>
      </c>
      <c r="F26">
        <f>IF(COUNT('Compte de résultat'!C36,'Compte de résultat'!C47)=0,"",IFERROR(ROUND('Compte de résultat'!C36/ABS('Compte de résultat'!C47),1),""))</f>
        <v/>
      </c>
      <c r="G26">
        <f>IF(COUNT('Compte de résultat'!D36,'Compte de résultat'!D47)=0,"",IFERROR(ROUND('Compte de résultat'!D36/ABS('Compte de résultat'!D47),1),""))</f>
        <v/>
      </c>
    </row>
    <row r="27">
      <c r="A27" t="inlineStr">
        <is>
          <t>EBITDA/ Charge d'intérêt</t>
        </is>
      </c>
      <c r="E27">
        <f>IF(COUNT('Compte de résultat'!B32,'Compte de résultat'!B47)=0,"",IFERROR(ROUND('Compte de résultat'!B32/ABS('Compte de résultat'!B47),1),""))</f>
        <v/>
      </c>
      <c r="F27">
        <f>IF(COUNT('Compte de résultat'!C32,'Compte de résultat'!C47)=0,"",IFERROR(ROUND('Compte de résultat'!C32/ABS('Compte de résultat'!C47),1),""))</f>
        <v/>
      </c>
      <c r="G27">
        <f>IF(COUNT('Compte de résultat'!D32,'Compte de résultat'!D47)=0,"",IFERROR(ROUND('Compte de résultat'!D32/ABS('Compte de résultat'!D47),1),""))</f>
        <v/>
      </c>
    </row>
    <row r="28">
      <c r="A28" t="inlineStr">
        <is>
          <t>EBITDA/ service de la dette</t>
        </is>
      </c>
      <c r="E28">
        <f>IF(COUNT('Compte de résultat'!B32,'Tableau de Flux de Trésorerie'!B18)=0,"",IFERROR(ROUND(-'Compte de résultat'!B32/'Tableau de Flux de Trésorerie'!B18,1),""))</f>
        <v/>
      </c>
      <c r="F28">
        <f>IF(COUNT('Compte de résultat'!C32,'Tableau de Flux de Trésorerie'!C18)=0,"",IFERROR(ROUND(-'Compte de résultat'!C32/'Tableau de Flux de Trésorerie'!C18,1),""))</f>
        <v/>
      </c>
      <c r="G28">
        <f>IF(COUNT('Compte de résultat'!D32,'Tableau de Flux de Trésorerie'!D18)=0,"",IFERROR(ROUND(-'Compte de résultat'!D32/'Tableau de Flux de Trésorerie'!D18,1),""))</f>
        <v/>
      </c>
    </row>
    <row r="29">
      <c r="A29" t="inlineStr">
        <is>
          <t>Charge d'intérêt / Moyenne pondérée de la dette sur deux ans</t>
        </is>
      </c>
      <c r="E29">
        <f>IF(COUNT('Compte de résultat'!B47,'Bilan - Passifs'!B43,'Bilan - Passifs'!B53,'Bilan - Passifs'!C43,'Bilan - Passifs'!C53)=0,"",IFERROR(ROUND(ABS('Compte de résultat'!B47)/AVERAGE(('Bilan - Passifs'!B43+'Bilan - Passifs'!B53),('Bilan - Passifs'!C43+'Bilan - Passifs'!C53)),1),""))</f>
        <v/>
      </c>
      <c r="F29">
        <f>IF(COUNT('Compte de résultat'!C47,'Bilan - Passifs'!C43,'Bilan - Passifs'!C53,'Bilan - Passifs'!D43,'Bilan - Passifs'!D53)=0,"",IFERROR(ROUND(ABS('Compte de résultat'!C47)/AVERAGE(('Bilan - Passifs'!C43+'Bilan - Passifs'!C53),('Bilan - Passifs'!D43+'Bilan - Passifs'!D53)),1),""))</f>
        <v/>
      </c>
      <c r="G29" s="15" t="n"/>
    </row>
    <row r="30">
      <c r="A30" t="inlineStr">
        <is>
          <t>Couverture des charges fixes</t>
        </is>
      </c>
      <c r="E30">
        <f>IF(ISNUMBER(E28),E28,"")</f>
        <v/>
      </c>
      <c r="F30">
        <f>IF(ISNUMBER(F28),F28,"")</f>
        <v/>
      </c>
      <c r="G30">
        <f>IF(ISNUMBER(G28),G28,"")</f>
        <v/>
      </c>
    </row>
    <row r="31">
      <c r="A31" t="inlineStr">
        <is>
          <t>CFO net/ Service dette</t>
        </is>
      </c>
      <c r="E31">
        <f>IF(COUNT('Tableau de Flux de Trésorerie'!B39,'Tableau de Flux de Trésorerie'!B18)=0,"",IFERROR(ROUND(-'Tableau de Flux de Trésorerie'!B39/'Tableau de Flux de Trésorerie'!B18,1),""))</f>
        <v/>
      </c>
      <c r="F31">
        <f>IF(COUNT('Tableau de Flux de Trésorerie'!C39,'Tableau de Flux de Trésorerie'!C18)=0,"",IFERROR(ROUND(-'Tableau de Flux de Trésorerie'!C39/'Tableau de Flux de Trésorerie'!C18,1),""))</f>
        <v/>
      </c>
      <c r="G31">
        <f>IF(COUNT('Tableau de Flux de Trésorerie'!D39,'Tableau de Flux de Trésorerie'!D18)=0,"",IFERROR(ROUND(-'Tableau de Flux de Trésorerie'!D39/'Tableau de Flux de Trésorerie'!D18,1),""))</f>
        <v/>
      </c>
    </row>
    <row r="32">
      <c r="A32" t="inlineStr">
        <is>
          <t>Dette</t>
        </is>
      </c>
    </row>
    <row r="33">
      <c r="A33" t="inlineStr">
        <is>
          <t>Fonds propres / Total Bilan</t>
        </is>
      </c>
      <c r="E33">
        <f>IF(COUNT('Bilan - Passifs'!B35,'Bilan - Passifs'!B84)=0,"",IFERROR(ROUND('Bilan - Passifs'!B35/'Bilan - Passifs'!B84,1),""))</f>
        <v/>
      </c>
      <c r="F33">
        <f>IF(COUNT('Bilan - Passifs'!C35,'Bilan - Passifs'!C84)=0,"",IFERROR(ROUND('Bilan - Passifs'!C35/'Bilan - Passifs'!C84,1),""))</f>
        <v/>
      </c>
      <c r="G33">
        <f>IF(COUNT('Bilan - Passifs'!D35,'Bilan - Passifs'!D84)=0,"",IFERROR(ROUND('Bilan - Passifs'!D35/'Bilan - Passifs'!D84,1),""))</f>
        <v/>
      </c>
    </row>
    <row r="34">
      <c r="A34" t="inlineStr">
        <is>
          <t>Total Engagements / Total Fonds Propres</t>
        </is>
      </c>
      <c r="E34">
        <f>IF(COUNT('Bilan - Passifs'!B35,'Bilan - Passifs'!B84)=0,"",IFERROR(ROUND('Bilan - Passifs'!B83/'Bilan - Passifs'!B35,1),""))</f>
        <v/>
      </c>
      <c r="F34">
        <f>IF(COUNT('Bilan - Passifs'!C35,'Bilan - Passifs'!C84)=0,"",IFERROR(ROUND('Bilan - Passifs'!C83/'Bilan - Passifs'!C35,1),""))</f>
        <v/>
      </c>
      <c r="G34">
        <f>IF(COUNT('Bilan - Passifs'!D35,'Bilan - Passifs'!D84)=0,"",IFERROR(ROUND('Bilan - Passifs'!D83/'Bilan - Passifs'!D35,1),""))</f>
        <v/>
      </c>
    </row>
    <row r="35">
      <c r="A35" t="inlineStr">
        <is>
          <t>Total Engagements+equiv dette OBS / Situation Nette</t>
        </is>
      </c>
      <c r="E35" s="15" t="n"/>
      <c r="F35" s="15" t="n"/>
      <c r="G35" s="15" t="n"/>
    </row>
    <row r="36">
      <c r="A36" t="inlineStr">
        <is>
          <t>Dette Brute / Fonds propres (Endettement Brut)</t>
        </is>
      </c>
      <c r="E36">
        <f>IF(COUNT('Bilan - Passifs'!B35,'Bilan - Passifs'!B84)=0,"",IFERROR(ROUND(E17/'Bilan - Passifs'!B35,1),""))</f>
        <v/>
      </c>
      <c r="F36">
        <f>IF(COUNT('Bilan - Passifs'!C35,'Bilan - Passifs'!C84)=0,"",IFERROR(ROUND(F17/'Bilan - Passifs'!C35,1),""))</f>
        <v/>
      </c>
      <c r="G36">
        <f>IF(COUNT('Bilan - Passifs'!D35,'Bilan - Passifs'!D84)=0,"",IFERROR(ROUND(G17/'Bilan - Passifs'!D35,1),""))</f>
        <v/>
      </c>
    </row>
    <row r="37">
      <c r="A37" t="inlineStr">
        <is>
          <t>Dette totale / Situation nette</t>
        </is>
      </c>
      <c r="E37">
        <f>IF(COUNT('Bilan - Passifs'!B35,'Bilan - Passifs'!B84)=0,"",IFERROR(ROUND(E17/E24,1),""))</f>
        <v/>
      </c>
      <c r="F37">
        <f>IF(COUNT('Bilan - Passifs'!C35,'Bilan - Passifs'!C84)=0,"",IFERROR(ROUND(F17/F24,1),""))</f>
        <v/>
      </c>
      <c r="G37">
        <f>IF(COUNT('Bilan - Passifs'!D35,'Bilan - Passifs'!D84)=0,"",IFERROR(ROUND(G17/G24,1),""))</f>
        <v/>
      </c>
    </row>
    <row r="38">
      <c r="A38" t="inlineStr">
        <is>
          <t>Dette Nette / Fonds Propres (Endettement Net)</t>
        </is>
      </c>
      <c r="E38" s="13">
        <f>IF(COUNT(E19,'Bilan - Passifs'!B35)=0,"",IFERROR(ROUND(E19/'Bilan - Passifs'!B35,2),""))</f>
        <v/>
      </c>
      <c r="F38" s="13">
        <f>IF(COUNT(F19,'Bilan - Passifs'!C35)=0,"",IFERROR(ROUND(F19/'Bilan - Passifs'!C35,2),""))</f>
        <v/>
      </c>
      <c r="G38" s="13">
        <f>IF(COUNT(G19,'Bilan - Passifs'!D35)=0,"",IFERROR(ROUND(G19/'Bilan - Passifs'!D35,2),""))</f>
        <v/>
      </c>
    </row>
    <row r="39">
      <c r="A39" t="inlineStr">
        <is>
          <t>Dette nette / Situation Nette</t>
        </is>
      </c>
      <c r="E39" s="13">
        <f>IF(COUNT(E19,E24)=0,"",IFERROR(ROUND(E19/E24,2),""))</f>
        <v/>
      </c>
      <c r="F39" s="13">
        <f>IF(COUNT(F19,F24)=0,"",IFERROR(ROUND(F19/F24,2),""))</f>
        <v/>
      </c>
      <c r="G39" s="13">
        <f>IF(COUNT(G19,G24)=0,"",IFERROR(ROUND(G19/G24,2),""))</f>
        <v/>
      </c>
    </row>
    <row r="40">
      <c r="A40" t="inlineStr">
        <is>
          <t>Dette Nette / Cash Flow Opér. Net</t>
        </is>
      </c>
      <c r="E40" s="13">
        <f>IF(COUNT(E19,'Tableau de Flux de Trésorerie'!B39)=0,"",IFERROR(ROUND(E19/'Tableau de Flux de Trésorerie'!B39,2),""))</f>
        <v/>
      </c>
      <c r="F40" s="13">
        <f>IF(COUNT(F19,'Tableau de Flux de Trésorerie'!C39)=0,"",IFERROR(ROUND(F19/'Tableau de Flux de Trésorerie'!C39,2),""))</f>
        <v/>
      </c>
      <c r="G40" s="13">
        <f>IF(COUNT(G19,'Tableau de Flux de Trésorerie'!D39)=0,"",IFERROR(ROUND(G19/'Tableau de Flux de Trésorerie'!D39,2),""))</f>
        <v/>
      </c>
    </row>
    <row r="41">
      <c r="A41" t="inlineStr">
        <is>
          <t>Dette Nette / EBITDA (Levier Net)</t>
        </is>
      </c>
      <c r="E41" s="13">
        <f>IF(COUNT(E19,'Compte de résultat'!B32)=0,"",IFERROR(ROUND(E19/'Compte de résultat'!B32,2),""))</f>
        <v/>
      </c>
      <c r="F41" s="13">
        <f>IF(COUNT(F19,'Compte de résultat'!C32)=0,"",IFERROR(ROUND(F19/'Compte de résultat'!C32,2),""))</f>
        <v/>
      </c>
      <c r="G41" s="13">
        <f>IF(COUNT(G19,'Compte de résultat'!D32)=0,"",IFERROR(ROUND(G19/'Compte de résultat'!D32,2),""))</f>
        <v/>
      </c>
    </row>
    <row r="42">
      <c r="A42" t="inlineStr">
        <is>
          <t>Dette nette ajustée / EBITDAF</t>
        </is>
      </c>
      <c r="E42" s="15" t="n"/>
      <c r="F42" s="15" t="n"/>
      <c r="G42" s="15" t="n"/>
    </row>
    <row r="43">
      <c r="A43" t="inlineStr">
        <is>
          <t>Ratio Actuel</t>
        </is>
      </c>
      <c r="E43" s="11">
        <f>IF(COUNT('Bilan - Actifs'!B68,'Bilan - Actifs'!B81,'Bilan - Passifs'!B81)=0,"",IFERROR(('Bilan - Actifs'!B68+'Bilan - Actifs'!B81)/'Bilan - Passifs'!B81,""))</f>
        <v/>
      </c>
      <c r="F43" s="11">
        <f>IF(COUNT('Bilan - Actifs'!C68,'Bilan - Actifs'!C81,'Bilan - Passifs'!C81)=0,"",IFERROR(('Bilan - Actifs'!C68+'Bilan - Actifs'!C81)/'Bilan - Passifs'!C81,""))</f>
        <v/>
      </c>
      <c r="G43" s="11">
        <f>IF(COUNT('Bilan - Actifs'!D68,'Bilan - Actifs'!D81,'Bilan - Passifs'!D81)=0,"",IFERROR(('Bilan - Actifs'!D68+'Bilan - Actifs'!D81)/'Bilan - Passifs'!D81,""))</f>
        <v/>
      </c>
    </row>
    <row r="44">
      <c r="A44" t="inlineStr">
        <is>
          <t>Cash Ratio</t>
        </is>
      </c>
      <c r="E44" s="11">
        <f>IF(COUNT('Bilan - Actifs'!B81,'Bilan - Passifs'!B81)=0,"",IFERROR('Bilan - Actifs'!B81/'Bilan - Passifs'!B81,""))</f>
        <v/>
      </c>
      <c r="F44" s="11">
        <f>IF(COUNT('Bilan - Actifs'!C81,'Bilan - Passifs'!C81)=0,"",IFERROR('Bilan - Actifs'!C81/'Bilan - Passifs'!C81,""))</f>
        <v/>
      </c>
      <c r="G44" s="11">
        <f>IF(COUNT('Bilan - Actifs'!D81,'Bilan - Passifs'!D81)=0,"",IFERROR('Bilan - Actifs'!D81/'Bilan - Passifs'!D81,""))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Is the cumulative ultimate equity detention by Financial Sponsors above 40% ?</t>
        </is>
      </c>
    </row>
    <row r="4">
      <c r="A4" t="inlineStr">
        <is>
          <t>L'emprunteur répond-il à l'un des critères d'exclusion ci-après?</t>
        </is>
      </c>
    </row>
    <row r="5">
      <c r="A5" t="inlineStr">
        <is>
          <t xml:space="preserve"> - PME (groupe avec un chiffre d'affaires consolidé &lt; 50M€)</t>
        </is>
      </c>
    </row>
    <row r="6">
      <c r="A6" t="inlineStr">
        <is>
          <t xml:space="preserve"> - Souverain ou Entité du Secteur Public</t>
        </is>
      </c>
    </row>
    <row r="7">
      <c r="A7" t="inlineStr">
        <is>
          <t xml:space="preserve"> - Entités du secteur financier</t>
        </is>
      </c>
    </row>
    <row r="8">
      <c r="A8" t="inlineStr">
        <is>
          <t xml:space="preserve"> - Emprunteur Investment Grade</t>
        </is>
      </c>
    </row>
    <row r="9">
      <c r="A9" t="inlineStr">
        <is>
          <t>Statut de la contrepartie : Société mère ultime ou filiale ?</t>
        </is>
      </c>
    </row>
    <row r="10">
      <c r="A10" t="inlineStr">
        <is>
          <t>Is there a supporting entity (mother company or another legal entity) as per the Support Entity definition provided in the applicable rating policies ?</t>
        </is>
      </c>
    </row>
    <row r="11">
      <c r="A11" t="inlineStr">
        <is>
          <t>Niveau de calcul du levier BCE:</t>
        </is>
      </c>
    </row>
    <row r="12">
      <c r="A12" t="inlineStr">
        <is>
          <t>L'opération répond-elle à l'un des critères d'exclusion ci-après ?</t>
        </is>
      </c>
    </row>
    <row r="13">
      <c r="A13" t="inlineStr">
        <is>
          <t>En cas de revue annuelle d'une contrepartie déjà "leveragée" BCE, répondre « non » à toutes les questions ci-dessous relatives à l exclusion des transactions.</t>
        </is>
      </c>
    </row>
    <row r="14">
      <c r="A14" t="inlineStr">
        <is>
          <t xml:space="preserve"> - Trade Finance</t>
        </is>
      </c>
    </row>
    <row r="15">
      <c r="A15" t="inlineStr">
        <is>
          <t xml:space="preserve"> - Financements spécialisés (financement de projets, immobilier commercial, financement de biens d'équipement, financement de matières premières)</t>
        </is>
      </c>
    </row>
    <row r="16">
      <c r="A16" t="inlineStr">
        <is>
          <t xml:space="preserve"> - Obligations et dettes hybrides</t>
        </is>
      </c>
    </row>
    <row r="17">
      <c r="A17" t="inlineStr">
        <is>
          <t xml:space="preserve"> - Dérivés</t>
        </is>
      </c>
    </row>
    <row r="18">
      <c r="A18" t="inlineStr">
        <is>
          <t xml:space="preserve"> - Affacturage</t>
        </is>
      </c>
    </row>
    <row r="19">
      <c r="A19" t="inlineStr">
        <is>
          <t xml:space="preserve"> - Crédit bail ou location financière</t>
        </is>
      </c>
    </row>
    <row r="20">
      <c r="A20" t="inlineStr">
        <is>
          <t xml:space="preserve"> - Financement export couvert par une agence publique de crédit à l'exportation (ECA)</t>
        </is>
      </c>
    </row>
    <row r="21">
      <c r="A21" t="inlineStr">
        <is>
          <t xml:space="preserve"> - Dettes subordonnées équivalentes à des quasi fonds propres</t>
        </is>
      </c>
    </row>
    <row r="22">
      <c r="A22" t="inlineStr">
        <is>
          <t xml:space="preserve"> - Margin Loans</t>
        </is>
      </c>
    </row>
    <row r="23">
      <c r="A23" t="inlineStr">
        <is>
          <t xml:space="preserve"> - L'exposition BNPP consolidée sur le groupe, après déduction de toutes les exclusions mentionnées ci-dessus, est-elle &lt; 5M€ ?</t>
        </is>
      </c>
    </row>
    <row r="24">
      <c r="A24" t="inlineStr">
        <is>
          <t xml:space="preserve"> - Le montant de l'opération de financement est-il inférieur à 2.5M€ et est compris dans l'enveloppe du TGA ('Total Group Authorization' ou enveloppe d'autorisation globale de niveau GA) ou, à défaut de l'inférieur à 2.5M€ et représente moins de 10 % de la somme des autorisations actuelles du Groupe d'Affaires ?</t>
        </is>
      </c>
    </row>
    <row r="25">
      <c r="A25" t="inlineStr">
        <is>
          <t>La proposition de crédit inclut-elle un événement de crédit ou est-ce une revue annuelle sans évènement de crédit d'une contrepartie déjà « leveragée » BCE ?</t>
        </is>
      </c>
    </row>
    <row r="26">
      <c r="A26" t="inlineStr">
        <is>
          <t>Précisez l'Evènement: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Source de données</t>
        </is>
      </c>
      <c r="E3" t="inlineStr">
        <is>
          <t>OWN</t>
        </is>
      </c>
      <c r="F3" t="inlineStr">
        <is>
          <t>OWN</t>
        </is>
      </c>
      <c r="G3" t="inlineStr">
        <is>
          <t>OWN</t>
        </is>
      </c>
    </row>
    <row r="4">
      <c r="A4" t="inlineStr">
        <is>
          <t>Type</t>
        </is>
      </c>
      <c r="E4" t="inlineStr">
        <is>
          <t>Annuel</t>
        </is>
      </c>
      <c r="F4" t="inlineStr">
        <is>
          <t>Annuel</t>
        </is>
      </c>
      <c r="G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E8" t="inlineStr">
        <is>
          <t>12 mois</t>
        </is>
      </c>
      <c r="F8" t="inlineStr">
        <is>
          <t>12 mois</t>
        </is>
      </c>
      <c r="G8" t="inlineStr">
        <is>
          <t>12 mois</t>
        </is>
      </c>
    </row>
    <row r="9">
      <c r="A9" t="inlineStr">
        <is>
          <t>Statut de la consolidation</t>
        </is>
      </c>
      <c r="E9" t="inlineStr">
        <is>
          <t>Social</t>
        </is>
      </c>
      <c r="F9" t="inlineStr">
        <is>
          <t>Social</t>
        </is>
      </c>
      <c r="G9" t="inlineStr">
        <is>
          <t>Social</t>
        </is>
      </c>
    </row>
    <row r="10">
      <c r="A10" t="inlineStr">
        <is>
          <t>Norme comptable</t>
        </is>
      </c>
      <c r="E10" t="inlineStr">
        <is>
          <t>Local Gaap</t>
        </is>
      </c>
      <c r="F10" t="inlineStr">
        <is>
          <t>Local Gaap</t>
        </is>
      </c>
      <c r="G10" t="inlineStr">
        <is>
          <t>Local Gaap</t>
        </is>
      </c>
    </row>
    <row r="11">
      <c r="A11" t="inlineStr">
        <is>
          <t>Unité/ Devise affichée</t>
        </is>
      </c>
      <c r="E11" t="inlineStr">
        <is>
          <t>Million DZD</t>
        </is>
      </c>
      <c r="F11" t="inlineStr">
        <is>
          <t>Million DZD</t>
        </is>
      </c>
      <c r="G11" t="inlineStr">
        <is>
          <t>Million DZD</t>
        </is>
      </c>
    </row>
    <row r="12">
      <c r="A12" t="inlineStr">
        <is>
          <t>Opinion</t>
        </is>
      </c>
      <c r="E12" t="inlineStr">
        <is>
          <t>Comptes non audités</t>
        </is>
      </c>
      <c r="F12" t="inlineStr">
        <is>
          <t>Comptes non audités</t>
        </is>
      </c>
      <c r="G12" t="inlineStr">
        <is>
          <t>Comptes non audités</t>
        </is>
      </c>
    </row>
    <row r="13">
      <c r="A13" t="inlineStr">
        <is>
          <t>Date de Publication</t>
        </is>
      </c>
    </row>
    <row r="14">
      <c r="E14" t="inlineStr">
        <is>
          <t>Valeur</t>
        </is>
      </c>
      <c r="F14" t="inlineStr">
        <is>
          <t>Valeur</t>
        </is>
      </c>
      <c r="G14" t="inlineStr">
        <is>
          <t>Valeur</t>
        </is>
      </c>
    </row>
    <row r="15"/>
    <row r="16">
      <c r="A16" t="inlineStr">
        <is>
          <t>Rolling Operating Cash Flow</t>
        </is>
      </c>
    </row>
    <row r="17">
      <c r="A17" t="inlineStr">
        <is>
          <t>Chiffre D'Affaires</t>
        </is>
      </c>
      <c r="E17">
        <f>IF(ISNUMBER('Compte de résultat'!B16),'Compte de résultat'!B16,"")</f>
        <v/>
      </c>
      <c r="F17">
        <f>IF(ISNUMBER('Compte de résultat'!C16),'Compte de résultat'!C16,"")</f>
        <v/>
      </c>
      <c r="G17">
        <f>IF(ISNUMBER('Compte de résultat'!D16),'Compte de résultat'!D16,"")</f>
        <v/>
      </c>
    </row>
    <row r="18">
      <c r="A18" t="inlineStr">
        <is>
          <t>Cash Ebilda</t>
        </is>
      </c>
      <c r="E18">
        <f>IF(ISNUMBER('Compte de résultat'!B32),'Compte de résultat'!B32,"")</f>
        <v/>
      </c>
      <c r="F18">
        <f>IF(ISNUMBER('Compte de résultat'!C32),'Compte de résultat'!C32,"")</f>
        <v/>
      </c>
      <c r="G18">
        <f>IF(ISNUMBER('Compte de résultat'!D32),'Compte de résultat'!D32,"")</f>
        <v/>
      </c>
    </row>
    <row r="19">
      <c r="A19" t="inlineStr">
        <is>
          <t>Dépenses d'investissement</t>
        </is>
      </c>
      <c r="E19">
        <f>IF(ISNUMBER('Tableau de Flux de Trésorerie'!B40),'Tableau de Flux de Trésorerie'!B40,"")</f>
        <v/>
      </c>
      <c r="F19">
        <f>IF(ISNUMBER('Tableau de Flux de Trésorerie'!C40),'Tableau de Flux de Trésorerie'!C40,"")</f>
        <v/>
      </c>
      <c r="G19">
        <f>IF(ISNUMBER('Tableau de Flux de Trésorerie'!D40),'Tableau de Flux de Trésorerie'!D40,"")</f>
        <v/>
      </c>
    </row>
    <row r="20">
      <c r="A20" t="inlineStr">
        <is>
          <t>Acquisitions</t>
        </is>
      </c>
      <c r="E20">
        <f>IF(ISNUMBER('Tableau de Flux de Trésorerie'!B49),'Tableau de Flux de Trésorerie'!B49,"")</f>
        <v/>
      </c>
      <c r="F20">
        <f>IF(ISNUMBER('Tableau de Flux de Trésorerie'!C49),'Tableau de Flux de Trésorerie'!C49,"")</f>
        <v/>
      </c>
      <c r="G20">
        <f>IF(ISNUMBER('Tableau de Flux de Trésorerie'!D49),'Tableau de Flux de Trésorerie'!D49,"")</f>
        <v/>
      </c>
    </row>
    <row r="21">
      <c r="A21" t="inlineStr">
        <is>
          <t>Les charges financières payées</t>
        </is>
      </c>
      <c r="E21">
        <f>IF(ISNUMBER('Tableau de Flux de Trésorerie'!B18),'Tableau de Flux de Trésorerie'!B18,"")</f>
        <v/>
      </c>
      <c r="F21">
        <f>IF(ISNUMBER('Tableau de Flux de Trésorerie'!C18),'Tableau de Flux de Trésorerie'!C18,"")</f>
        <v/>
      </c>
      <c r="G21">
        <f>IF(ISNUMBER('Tableau de Flux de Trésorerie'!D18),'Tableau de Flux de Trésorerie'!D18,"")</f>
        <v/>
      </c>
    </row>
    <row r="22">
      <c r="A22" t="inlineStr">
        <is>
          <t>Impôts payés</t>
        </is>
      </c>
      <c r="E22">
        <f>IF(ISNUMBER('Tableau de Flux de Trésorerie'!B19),'Tableau de Flux de Trésorerie'!B19,"")</f>
        <v/>
      </c>
      <c r="F22">
        <f>IF(ISNUMBER('Tableau de Flux de Trésorerie'!C19),'Tableau de Flux de Trésorerie'!C19,"")</f>
        <v/>
      </c>
      <c r="G22">
        <f>IF(ISNUMBER('Tableau de Flux de Trésorerie'!D19),'Tableau de Flux de Trésorerie'!D19,"")</f>
        <v/>
      </c>
    </row>
    <row r="23">
      <c r="A23" t="inlineStr">
        <is>
          <t>Flux de trésorerie</t>
        </is>
      </c>
      <c r="E23">
        <f>IF(COUNT(E18,E19,E20,E21,E22)=0,"",SUM(E18,E19,E20,E21,E22))</f>
        <v/>
      </c>
      <c r="F23">
        <f>IF(COUNT(F18,F19,F20,F21,F22)=0,"",SUM(F18,F19,F20,F21,F22))</f>
        <v/>
      </c>
      <c r="G23">
        <f>IF(COUNT(G18,G19,G20,G21,G22)=0,"",SUM(G18,G19,G20,G21,G22))</f>
        <v/>
      </c>
    </row>
    <row r="24">
      <c r="A24" t="inlineStr">
        <is>
          <t>Flux de trésorerie/Chiffre d'affaires</t>
        </is>
      </c>
      <c r="E24" s="12">
        <f>IF(COUNT(E17,E23)=0,"",IFERROR(E23/E17,""))</f>
        <v/>
      </c>
      <c r="F24" s="12">
        <f>IF(COUNT(F17,F23)=0,"",IFERROR(F23/F17,""))</f>
        <v/>
      </c>
      <c r="G24" s="12">
        <f>IF(COUNT(G17,G23)=0,"",IFERROR(G23/G17,""))</f>
        <v/>
      </c>
    </row>
    <row r="25">
      <c r="A25" t="inlineStr">
        <is>
          <t>Dépréciation &amp; Amortissement</t>
        </is>
      </c>
      <c r="E25">
        <f>IF(ISNUMBER('Compte de résultat'!B33),'Compte de résultat'!B33,"")</f>
        <v/>
      </c>
      <c r="F25">
        <f>IF(ISNUMBER('Compte de résultat'!C33),'Compte de résultat'!C33,"")</f>
        <v/>
      </c>
      <c r="G25">
        <f>IF(ISNUMBER('Compte de résultat'!D33),'Compte de résultat'!D33,"")</f>
        <v/>
      </c>
    </row>
    <row r="26">
      <c r="A26" t="inlineStr">
        <is>
          <t>Dépenses d'investissement/Dépréciation &amp; Amortissement</t>
        </is>
      </c>
      <c r="E26" s="12">
        <f>IF(COUNT(E19,E25)=0,"",IFERROR(E19/E25,""))</f>
        <v/>
      </c>
      <c r="F26" s="12">
        <f>IF(COUNT(F19,F25)=0,"",IFERROR(F19/F25,""))</f>
        <v/>
      </c>
      <c r="G26" s="12">
        <f>IF(COUNT(G19,G25)=0,"",IFERROR(G19/G25,""))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2026-10-12T21:53:39Z</dcterms:created>
  <dcterms:modified xmlns:dcterms="http://purl.org/dc/terms/" xmlns:xsi="http://www.w3.org/2001/XMLSchema-instance" xsi:type="dcterms:W3CDTF">2026-10-13T11:07:01Z</dcterms:modified>
  <cp:lastModifiedBy>Microsoft Office User</cp:lastModifiedBy>
</cp:coreProperties>
</file>